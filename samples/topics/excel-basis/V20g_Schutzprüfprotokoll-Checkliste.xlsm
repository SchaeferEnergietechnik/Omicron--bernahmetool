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2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drawings/drawing3.xml" ContentType="application/vnd.openxmlformats-officedocument.drawing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ns1="http://schemas.openxmlformats.org/markup-compatibility/2006" xmlns:ns2="http://schemas.microsoft.com/office/spreadsheetml/2010/11/ac" xmlns:ns3="http://schemas.microsoft.com/office/spreadsheetml/2014/revision" xmlns:ns4="http://schemas.microsoft.com/office/spreadsheetml/2016/revision6" xmlns:ns5="http://schemas.microsoft.com/office/spreadsheetml/2016/revision10" xmlns:ns6="http://schemas.microsoft.com/office/spreadsheetml/2015/revision2" xmlns:ns7="http://schemas.openxmlformats.org/officeDocument/2006/relationships" xmlns:ns8="http://schemas.microsoft.com/office/spreadsheetml/2018/calcfeatures" xmlns:ns9="http://schemas.microsoft.com/office/spreadsheetml/2024/workbookCompatibilityVersion" ns1:Ignorable="x15 xr xr6 xr10 xr2">
  <fileVersion appName="xl" lastEdited="7" lowestEdited="7" rupBuild="27932" codeName="{372AB895-14C1-FC20-EB20-F1B4BCFD95AE}"/>
  <workbookPr codeName="DieseArbeitsmappe"/>
  <ns1:AlternateContent>
    <ns1:Choice Requires="x15">
      <ns2:absPath url="C:\OMICRO~3\samples\topics\EXCEL-~1\"/>
    </ns1:Choice>
  </ns1:AlternateContent>
  <ns3:revisionPtr revIDLastSave="0" documentId="13_ncr:1_{001872B9-1FE0-40AD-8E9E-7FBC53835382}" ns4:coauthVersionLast="47" ns4:coauthVersionMax="47" ns5:uidLastSave="{00000000-0000-0000-0000-000000000000}"/>
  <bookViews>
    <workbookView xWindow="-120" yWindow="-120" windowWidth="29040" windowHeight="15720" tabRatio="890" activeTab="10" ns6:uid="{00000000-000D-0000-FFFF-FFFF00000000}"/>
  </bookViews>
  <sheets>
    <sheet name="Schutzprüf-Checkliste" sheetId="1" ns7:id="rId1"/>
    <sheet name="Bürdemessung" sheetId="2" ns7:id="rId2"/>
    <sheet name="Allgemeine Angaben" sheetId="3" ns7:id="rId3"/>
    <sheet name="Prüfprotokoll" sheetId="4" ns7:id="rId4"/>
    <sheet name="Wandlerprüfprotokoll" sheetId="5" ns7:id="rId5"/>
    <sheet name="Protokolluntergeord. Schutz EZE" sheetId="6" ns7:id="rId6"/>
    <sheet name="Daten" sheetId="7" ns7:id="rId7"/>
    <sheet name="Daten EZE" sheetId="8" ns7:id="rId8"/>
    <sheet name="Measurements" sheetId="9" ns7:id="rId9"/>
    <sheet name="Seq_Measurement" sheetId="10" ns7:id="rId10"/>
    <sheet name="PlsRmp_Measurement" sheetId="11" ns7:id="rId11"/>
    <sheet name="Wandlerdaten" sheetId="12" ns7:id="rId12"/>
    <sheet name="Kunden" sheetId="13" ns7:id="rId13"/>
    <sheet name="ProtNr" sheetId="14" ns7:id="rId14"/>
  </sheets>
  <definedNames>
    <definedName name="ExterneDaten_1" localSheetId="8" hidden="1">Measurements!$A$2:$O$16</definedName>
    <definedName name="ExterneDaten_1" localSheetId="9" hidden="1">Seq_Measurement!$A$2:$M$16</definedName>
    <definedName name="ExterneDaten_2" localSheetId="10" hidden="1">PlsRmp_Measurement!$A$2:$N$11</definedName>
  </definedNames>
  <calcPr calcId="191029" iterateDelta="1E-4" calcMode="auto" fullCalcOnLoad="1" forceFullCalc="1"/>
  <extLst>
    <ext uri="{B58B0392-4F1F-4190-BB64-5DF3571DCE5F}">
      <ns8:calcFeatures>
        <ns8:feature name="microsoft.com:RD"/>
        <ns8:feature name="microsoft.com:Single"/>
        <ns8:feature name="microsoft.com:FV"/>
        <ns8:feature name="microsoft.com:CNMTM"/>
        <ns8:feature name="microsoft.com:LET_WF"/>
        <ns8:feature name="microsoft.com:LAMBDA_WF"/>
        <ns8:feature name="microsoft.com:ARRAYTEXT_WF"/>
      </ns8:calcFeatures>
    </ext>
    <ext uri="{D14903EA-33C4-47F7-8F05-3474C54BE107}">
      <ns9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B122F2-55C8-4A83-A42B-EE7DD249A3F1}" keepAlive="1" name="Abfrage - Measurements" description="Verbindung mit der Abfrage 'Measurements' in der Arbeitsmappe." type="5" refreshedVersion="8" background="1" saveData="1">
    <dbPr connection="Provider=Microsoft.Mashup.OleDb.1;Data Source=$Workbook$;Location=Measurements;Extended Properties=&quot;&quot;" command="SELECT * FROM [Measurements]"/>
  </connection>
  <connection id="2" xr16:uid="{BD8845E3-48EB-4006-8948-DB942EE7DF77}" keepAlive="1" name="Abfrage - PlsRmp_Measurement" description="Verbindung mit der Abfrage 'PlsRmp_Measurement' in der Arbeitsmappe." type="5" refreshedVersion="8" background="1" saveData="1">
    <dbPr connection="Provider=Microsoft.Mashup.OleDb.1;Data Source=$Workbook$;Location=PlsRmp_Measurement;Extended Properties=&quot;&quot;" command="SELECT * FROM [PlsRmp_Measurement]"/>
  </connection>
  <connection id="3" xr16:uid="{037552EE-E24C-485B-95E7-7CE97A55490A}" keepAlive="1" name="Abfrage - Seq_Measurement" description="Verbindung mit der Abfrage 'Seq_Measurement' in der Arbeitsmappe." type="5" refreshedVersion="8" background="1" saveData="1">
    <dbPr connection="Provider=Microsoft.Mashup.OleDb.1;Data Source=$Workbook$;Location=Seq_Measurement;Extended Properties=&quot;&quot;" command="SELECT * FROM [Seq_Measurement]"/>
  </connection>
</connections>
</file>

<file path=xl/sharedStrings.xml><?xml version="1.0" encoding="utf-8"?>
<sst xmlns="http://schemas.openxmlformats.org/spreadsheetml/2006/main" count="1659" uniqueCount="967">
  <si>
    <t>Allgemeine Vorbereitungen - Daten fürs Protokoll</t>
  </si>
  <si>
    <t>Zustand</t>
  </si>
  <si>
    <t>Bemerkungen</t>
  </si>
  <si>
    <t>"Zustands"-Legende:</t>
  </si>
  <si>
    <t>Projektname nach E9 Bogen (1. Seite):</t>
  </si>
  <si>
    <t>?</t>
  </si>
  <si>
    <t>Wurde dieser Punkt bearbeitet?</t>
  </si>
  <si>
    <t>Ort der Prüfung</t>
  </si>
  <si>
    <t>x = OK!</t>
  </si>
  <si>
    <t>Name Prüfer:</t>
  </si>
  <si>
    <t>? = nicht bearbeitet</t>
  </si>
  <si>
    <t>Welche Omicron verwendet</t>
  </si>
  <si>
    <t>bitte wählen!</t>
  </si>
  <si>
    <t>&lt;- Drop down Liste</t>
  </si>
  <si>
    <t>! = NICHT OK</t>
  </si>
  <si>
    <t>Datum:</t>
  </si>
  <si>
    <t>- = nicht bewertet</t>
  </si>
  <si>
    <t>Angaben zum übergeordneten Schutz</t>
  </si>
  <si>
    <t>Typ - Schutzrelais NAP, übergeordneter Sch.: Aus Liste auswählen:</t>
  </si>
  <si>
    <t>Symap compact +F3/Stucke</t>
  </si>
  <si>
    <t>Seriennummer Baukörper NAP aufschreiben</t>
  </si>
  <si>
    <t>Baujahr der Station bzw. des Schutzschrankes für NAP</t>
  </si>
  <si>
    <t>Seriennummer Schutzrelais - übergeordneter Schutz aufschreiben</t>
  </si>
  <si>
    <t>Schutzrelais LED Kennzeichnung am NAP</t>
  </si>
  <si>
    <t>Angabe, welche Schutzfunktionen werden nach E9 geprüft -&gt; im *.occ anpassen</t>
  </si>
  <si>
    <t>Angaben zum untergeordneten Schutz</t>
  </si>
  <si>
    <t>Typ - Schutzrelais untergeordneter Sch.: Aus Liste auswählen:</t>
  </si>
  <si>
    <t>UFR1001E / Ziehl</t>
  </si>
  <si>
    <t>Seriennummer Baukörper für Schutz EZE aufschreiben</t>
  </si>
  <si>
    <t>Baujahr der Station bzw. des Schutzschrankes für EZE</t>
  </si>
  <si>
    <t>Seriennummer Schutzrelais - untergeordneter Schutz aufschreiben</t>
  </si>
  <si>
    <t>Firmware Schutzrelais an EZE - ABB im Display, Ziehl an der Seite</t>
  </si>
  <si>
    <t>Spannung untergeordneter Schutz: 100V Wandler oder 400V ?</t>
  </si>
  <si>
    <t>stimmt mit Stromlaufplan überein?</t>
  </si>
  <si>
    <t>summe-&gt;</t>
  </si>
  <si>
    <t>Überwachung EZE Schutzrelais Phase-N oder Phase - Phase</t>
  </si>
  <si>
    <t>Phase-Phase? -&gt;  X setzen -&gt;</t>
  </si>
  <si>
    <t>-----------------</t>
  </si>
  <si>
    <t>Spannungebene Transformator (Übersetzung/MS Seite - NS Seite)</t>
  </si>
  <si>
    <t>Angaben zu den Wandlern im Messfeld</t>
  </si>
  <si>
    <t>möglicher Nennstrom der Stromwandler (primär) in Ampere</t>
  </si>
  <si>
    <t>z. B. 2x50</t>
  </si>
  <si>
    <t>Nur Zahl eingeben-&gt;</t>
  </si>
  <si>
    <t>ohne "A" dahinter, nur Zahl, aber auch "2x" falls vorhanden</t>
  </si>
  <si>
    <t>Nennstrom der Stromwandler (primär geklemmt?) in Ampere</t>
  </si>
  <si>
    <t>Stützerstromwandler: Zählung, Verrechnu (Nur Zahl, -&gt;</t>
  </si>
  <si>
    <t>MESSFELD - stromwandler -&gt; VOR oder NACH Spannungswandler???</t>
  </si>
  <si>
    <t>Aschluss?</t>
  </si>
  <si>
    <t>Einbaurichtung Stromwandler -P1 -&gt; SS VNB? (P1 Richtung Netz)</t>
  </si>
  <si>
    <t>Sekundärer Nennstrom</t>
  </si>
  <si>
    <t>Erdung der Stromwandler (Messung + Schutz), wo?</t>
  </si>
  <si>
    <t>Kern 1</t>
  </si>
  <si>
    <t>Kern 2</t>
  </si>
  <si>
    <t>Kern 3</t>
  </si>
  <si>
    <t>L1</t>
  </si>
  <si>
    <t>L2</t>
  </si>
  <si>
    <t>L3</t>
  </si>
  <si>
    <t>Angaben zu den Schutz-Kabelumbau-Wandlern</t>
  </si>
  <si>
    <t>Kabelumbauwandler Schutz vorhanden? (NICHT-Erdstromwandler)</t>
  </si>
  <si>
    <t>Kabelumbaustromwandler -&gt; VOR oder NACH Spannungswandler???</t>
  </si>
  <si>
    <t>Erdung Kabelumbauwandler; evtl. mit 2. Messkern o.ä.</t>
  </si>
  <si>
    <t>Schirmdrähte Kabelumbauwandler korrekt zurück geführt?</t>
  </si>
  <si>
    <t>Phasengetreu und von vorne nach hinten zurück geführt?</t>
  </si>
  <si>
    <t>Angaben zu den Spannungs-Wandlern</t>
  </si>
  <si>
    <t>Spannungswandler - Anzahl Wicklungen</t>
  </si>
  <si>
    <t>Spannungswandler 3 Wicklungen</t>
  </si>
  <si>
    <t>&lt;- klick !</t>
  </si>
  <si>
    <t>Erdung der Spannungswandler, wo?</t>
  </si>
  <si>
    <t>Übersetzungsverhältnis Spannungswandler (bei Umschaltbarkeit, BEIDE)</t>
  </si>
  <si>
    <t>hier Wert kV eintragen: (nur Zahl)</t>
  </si>
  <si>
    <t>-&gt;</t>
  </si>
  <si>
    <t>z.B.    10-20</t>
  </si>
  <si>
    <t>Spannungswandlers-&gt; geklemmt auf:</t>
  </si>
  <si>
    <t>Fotos</t>
  </si>
  <si>
    <t>Fotos der Wandler-Seriennummern</t>
  </si>
  <si>
    <t>Fotos der 800V//100V NS-Spannungswandler, falls vorhanden</t>
  </si>
  <si>
    <t>Fotos des Trafostufenschalter und Trafodatenblatt</t>
  </si>
  <si>
    <t>Trafostufenschalter -&gt; Bei Mittenstellung ein x eintragen</t>
  </si>
  <si>
    <t>hier ein x -&gt;</t>
  </si>
  <si>
    <t xml:space="preserve">                                         -&gt; welche Position?</t>
  </si>
  <si>
    <t>Dropdown Auswahl</t>
  </si>
  <si>
    <t>Fotos des Ölstandes, wenn Überwachungsgerät vorhanden</t>
  </si>
  <si>
    <t>Sekundärprüfung - Schutz - ÜBERgeordnet!</t>
  </si>
  <si>
    <t>Mittelspannungsebene laut E9 Bogen (Uc)?  20kV/11kv/10kV ???</t>
  </si>
  <si>
    <t>Schutzstromwandler -&gt; wieviel Ampere?</t>
  </si>
  <si>
    <t>hier Wert A eintragen: (nur Zahl)</t>
  </si>
  <si>
    <t>Schutzstromw.-&gt;</t>
  </si>
  <si>
    <t>Anzahl aller Schutzfunktionen nach E9 Bogen geprüft?</t>
  </si>
  <si>
    <t>Abschaltung bei Fehler UMZ - MSA</t>
  </si>
  <si>
    <t>Abschaltung bei Fehler übergeordneter Schutz (U&lt;&gt;, QU… etc. laut E9)</t>
  </si>
  <si>
    <t>Abschaltung welcher Schalter? NS/MS/J0???
(Eintragung welcher Schutz auf welchen Schalter; leer lassen falls nicht vorhanden) ---&gt; DROP DOWN MENÜ</t>
  </si>
  <si>
    <t>hier Wert eintragen: (nur Angabe)</t>
  </si>
  <si>
    <t>UMZ auf ?-&gt;</t>
  </si>
  <si>
    <t>Entkupplungsschutz auf? -&gt;</t>
  </si>
  <si>
    <t>Name des Schalters der abgeschaltet wird durch UMZ Schutz</t>
  </si>
  <si>
    <t>z.B.:   -Q0   -&gt;</t>
  </si>
  <si>
    <t>-Q0</t>
  </si>
  <si>
    <t>Name des Schalters der abgeschaltet wird durch überg. Schutz</t>
  </si>
  <si>
    <t>z.B.:   -Q1   -&gt;</t>
  </si>
  <si>
    <t>Uhrzeit setzen/aktualisieren im Schutzrelais!!! Synchronisieren mit PC!</t>
  </si>
  <si>
    <t>je nach Software an versch. Stellen/Syn</t>
  </si>
  <si>
    <t>erledigt?</t>
  </si>
  <si>
    <t>Abschaltung nach Ausfall Hilfsenergie erfolgt? - Unterspannungsspule?</t>
  </si>
  <si>
    <t>DC komplett AUS</t>
  </si>
  <si>
    <t>separat zum Live Contact prüfen</t>
  </si>
  <si>
    <t>Abschaltung durch Live Contact?</t>
  </si>
  <si>
    <t>Schutzrelais AUS</t>
  </si>
  <si>
    <t>Spannungswandlerschutzschalter löst Leistungsschalter aus?</t>
  </si>
  <si>
    <t>Bürdemessung durchführen ab sekundärer Klemme im Schutzschrank</t>
  </si>
  <si>
    <t>nicht vom Wandler aus! Aber alle sinnvollen Kerne, siehe Reiter Bürdemessung</t>
  </si>
  <si>
    <t>IMMER Stromwandler!</t>
  </si>
  <si>
    <t>Batterieanlage in Ordnung? -&gt; Batterien VORHANDEN?</t>
  </si>
  <si>
    <t>Batterieanlage für übergeordneten Schutz vorhanden und  i.O.?</t>
  </si>
  <si>
    <t>Prüfklemmleiste für NAP - Schutz vorhanden???</t>
  </si>
  <si>
    <t>NOT-AUS Auslösung, Meldung und Quitierung über Schutzgerät? OK?</t>
  </si>
  <si>
    <t>Trafoschutz über Schutzrelais? -&gt; MITTELSSPANNUNG  LS ausgelöst?</t>
  </si>
  <si>
    <t>Trafoschutz über Schutzrelais? -&gt; NIEDERSPANNUNG LS ausgelöst?</t>
  </si>
  <si>
    <t>deaktiviert falls nicht geplant</t>
  </si>
  <si>
    <t>Ruhestromüberwachung bei räumlicher Trennung Schutz/Schalter vorhanden</t>
  </si>
  <si>
    <t>bei LWL Verbindungen oder anderen -&gt; Schalter muss bei Ausfall abschalten</t>
  </si>
  <si>
    <t>MITNETZ: Fallklappen lösen aus und zeigen an, gemäß Stromlaufplan?</t>
  </si>
  <si>
    <t>Sekundärprüfung - Schutz - UNTERgeordnet!</t>
  </si>
  <si>
    <t>Abschaltung bei Fehler untergeordneter Schutz</t>
  </si>
  <si>
    <t>Name des Schalters der abgeschaltet wird durch unterg. Schutz</t>
  </si>
  <si>
    <t>z.B.:     -Q2   -&gt;</t>
  </si>
  <si>
    <t>Abschaltung durch Live Contact untergeordneter Schutz?</t>
  </si>
  <si>
    <t>Prüfklemmleiste für EZE - Schutz vorhanden???</t>
  </si>
  <si>
    <t>AWZ NICHT Vorhanden</t>
  </si>
  <si>
    <t>ein x, wenn keine AWZ in der Anlage -&gt;</t>
  </si>
  <si>
    <t>AWZ untergeordneter Schutz auf 600 Sekunden gestellt</t>
  </si>
  <si>
    <t>AWE funktioniert???</t>
  </si>
  <si>
    <t>Trennklemmen zur NS- Sammelschiene nach Prüfung geschlossen???</t>
  </si>
  <si>
    <t>ohne das Schließen ist eine Zuschaltung später nicht möglich!</t>
  </si>
  <si>
    <t>Batterieanlage für untergeordneten Schutz vorhanden und  i.O.?</t>
  </si>
  <si>
    <t>Wiedereinschaltkriterien korrekt geprüft? -&gt;</t>
  </si>
  <si>
    <t>1,1 Un und 0,95 Un; 49,9 Hz und 50,1 Hz</t>
  </si>
  <si>
    <t>Checkliste Primärprüfung</t>
  </si>
  <si>
    <t>Prüfobjekt</t>
  </si>
  <si>
    <t>Wert</t>
  </si>
  <si>
    <t>Stromwandler
Strom einspeisen in Verbraucherzählpfeilrichtung -&gt; Von der Sammelschiene in Richtung Abgangskabel</t>
  </si>
  <si>
    <t>2- oder 3-Kern-Wandler
Primären Strom einspeisen 
z.B. halber Nennstrom des Wandler
-&gt; jeder Kern einzeln</t>
  </si>
  <si>
    <t>Zählerschrank
mit Stromzange messen</t>
  </si>
  <si>
    <t>L1 - 2,5 A</t>
  </si>
  <si>
    <t>L2 - 2,5 A</t>
  </si>
  <si>
    <t>L3 - 2,5 A</t>
  </si>
  <si>
    <t>Parksteuerung
ggfs. Anzeige Janitza</t>
  </si>
  <si>
    <t>L1 - 2,5(0,5)A</t>
  </si>
  <si>
    <t>L2 - 2,5(0,5)A</t>
  </si>
  <si>
    <t>L3 - 2,5(0,5)A</t>
  </si>
  <si>
    <t>Schutzgerät Anzeige</t>
  </si>
  <si>
    <t>L1 - Primärstrom</t>
  </si>
  <si>
    <t>L2 - Primärstrom</t>
  </si>
  <si>
    <t>L3 - Primärstrom</t>
  </si>
  <si>
    <t>Leistungsrichtung der Phasen kontrollieren! 0°,90°, 180°, 270° (SCHUTZKERN) -&gt; Bezug = positive Wirkleistung</t>
  </si>
  <si>
    <t>sekundäre Spg einspeisen, primären Strom (Richtung beachten) und am Endgerät ablesen und bewerten</t>
  </si>
  <si>
    <t>Leistungsrichtung der Phasen kontrollieren! 0°,90°, 180°, 270° (Messkern)-&gt; Bezug = positive Wirkleistung</t>
  </si>
  <si>
    <t>Falls vorhanden:  Kabelumbauwandler</t>
  </si>
  <si>
    <t>Schutzkern auf Schutzgerät verdrahtet?</t>
  </si>
  <si>
    <t>Spannungswandler</t>
  </si>
  <si>
    <t xml:space="preserve">Primäreinspeisung SpgWdl.
Alle drei Phasen einspeisen mit:
z.B.
L1 -&gt; 100 V
L2 -&gt; 200 V
L3 -&gt; 300 V
sekundärseitig messen.
</t>
  </si>
  <si>
    <t>Zählerschrank</t>
  </si>
  <si>
    <t>L1-N</t>
  </si>
  <si>
    <t>an den Klemmen messen</t>
  </si>
  <si>
    <t>Höhe der sekundär gemessenen Spannung abhängig vom Übersetzungsverhältnis
falls möglich am Gerät Spannung ablesen</t>
  </si>
  <si>
    <t>L2-N</t>
  </si>
  <si>
    <t>L3-N</t>
  </si>
  <si>
    <t>Parksteuerung</t>
  </si>
  <si>
    <t>an letzter Klemme vor Gerät messen oder ablesen</t>
  </si>
  <si>
    <t>Schutz</t>
  </si>
  <si>
    <t>Einspeisung alle Phasen 1/100 der primären Nennspannung</t>
  </si>
  <si>
    <t>da-dn</t>
  </si>
  <si>
    <t>L1-N - 0,58 V</t>
  </si>
  <si>
    <t>es wird nacheinander eine Phase auf 0V gesetzt, danach wieder alle Phasen einspeisen</t>
  </si>
  <si>
    <t>L2-N - 0,58 V</t>
  </si>
  <si>
    <t>L3-N - 0,58 V</t>
  </si>
  <si>
    <t>L1/L2/L3 - 0 V</t>
  </si>
  <si>
    <t>Dämpfungswiderstand wieder verdrahtet?</t>
  </si>
  <si>
    <t>falls zur Messung ausgedrahtet</t>
  </si>
  <si>
    <t>"x" - wenn korrekt verdrahtet
"-" - wenn keiner vorhanden</t>
  </si>
  <si>
    <t>Übersetzungsverhältnis Spannungswandler korrekt zu E9 eingestellt -&gt;</t>
  </si>
  <si>
    <t>Bewertung anhand der Primärprüfung</t>
  </si>
  <si>
    <t>Abschließende Arbeiten und FOTOS (nach allen Prüfungen vor Abreise)</t>
  </si>
  <si>
    <t>Trennklemmen geschlossen, Zeitrelais eingestellt ?</t>
  </si>
  <si>
    <t>Spannungswandler Anschluss wiederhergestellt</t>
  </si>
  <si>
    <t>40Nm bei Kupfer-Kupfer Verbindungen; Ca. 15Nm bei Schraube am Wdl.</t>
  </si>
  <si>
    <t>Fotos - MS-Anlage komplett</t>
  </si>
  <si>
    <t>Foto - Schutzschrank (Gesamtbild: Klemmen/Janitza/Bluelog etc.)</t>
  </si>
  <si>
    <t>Messfeld vor und nach dem Zuschrauben fotografieren</t>
  </si>
  <si>
    <t>Foto - Wandlerklemmen im Schutzschrank</t>
  </si>
  <si>
    <t>nach Abschluss der Arbeiten</t>
  </si>
  <si>
    <t>Prüfaufkleber anbringen -&gt; Datum der Prüfung</t>
  </si>
  <si>
    <t>Fernwirkanlagen - interner Vortest</t>
  </si>
  <si>
    <t>Vortest durchgeführt?</t>
  </si>
  <si>
    <t>JA-&gt;</t>
  </si>
  <si>
    <t>NEIN-&gt;</t>
  </si>
  <si>
    <t>ungefähre Zeit die benötigt wurde (nur zu Abrechnungszwecken)</t>
  </si>
  <si>
    <t>inkl. Fehlersuche/Korrektur/Doku</t>
  </si>
  <si>
    <t>kurze Beschreibung was geht, was nicht geht in Bemerkungen!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</si>
  <si>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</si>
  <si>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</si>
  <si>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</si>
  <si>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</si>
  <si>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</si>
  <si>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</si>
  <si>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</si>
  <si>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</si>
  <si>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</si>
  <si>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</si>
  <si>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Stromwandler</t>
  </si>
  <si>
    <t>Wandler</t>
  </si>
  <si>
    <t>Strom gesp.</t>
  </si>
  <si>
    <t>Strom gem.</t>
  </si>
  <si>
    <t>Spannung/mV</t>
  </si>
  <si>
    <t>Bürde</t>
  </si>
  <si>
    <t>geprüft</t>
  </si>
  <si>
    <t>T1</t>
  </si>
  <si>
    <t>5A</t>
  </si>
  <si>
    <t>5,0</t>
  </si>
  <si>
    <t>Zählung</t>
  </si>
  <si>
    <t>T2</t>
  </si>
  <si>
    <t>T3</t>
  </si>
  <si>
    <t>1 A</t>
  </si>
  <si>
    <t>1,02</t>
  </si>
  <si>
    <t>Schutzwandler</t>
  </si>
  <si>
    <t>Kabelumbau - Stromwandler</t>
  </si>
  <si>
    <t>Strom  /mA</t>
  </si>
  <si>
    <t>1T1</t>
  </si>
  <si>
    <t>57,7 V</t>
  </si>
  <si>
    <t>57,7</t>
  </si>
  <si>
    <t>1T2</t>
  </si>
  <si>
    <t>1T3</t>
  </si>
  <si>
    <t>2T1</t>
  </si>
  <si>
    <t>2T2</t>
  </si>
  <si>
    <t>2T3</t>
  </si>
  <si>
    <t>100V</t>
  </si>
  <si>
    <t>Allgemeine Angaben zur Station</t>
  </si>
  <si>
    <t>Auftraggeber inkl. Adresse:</t>
  </si>
  <si>
    <t>Faber E-Tec GmbH
Bachstraße 21
D-32257 Bünde</t>
  </si>
  <si>
    <t>Anlage:</t>
  </si>
  <si>
    <t>Hilfsspannung:</t>
  </si>
  <si>
    <t>24 VDC</t>
  </si>
  <si>
    <t>Protokoll-Nummer für NAP - übergeordneter Schutz und UMZ:</t>
  </si>
  <si>
    <t>Protokoll-Nummer für EZE - untergeordneter Schutz:</t>
  </si>
  <si>
    <t>Name im E9 Bogen nachsehen</t>
  </si>
  <si>
    <t>Protokollersteller</t>
  </si>
  <si>
    <t>Kevin Koehn</t>
  </si>
  <si>
    <t>+49 173 1897322</t>
  </si>
  <si>
    <t>+49 1515 8452716</t>
  </si>
  <si>
    <t>g.schaefer@ges-energietechnik.com</t>
  </si>
  <si>
    <t xml:space="preserve">k.koehn@ges-energietechnik.com </t>
  </si>
  <si>
    <t>Angabe Prüfort im Protokoll? -&gt; x = JA; leer = NEIN</t>
  </si>
  <si>
    <t>x</t>
  </si>
  <si>
    <t>Feldgrößen:</t>
  </si>
  <si>
    <t>Anzahl benötigter Zeilen</t>
  </si>
  <si>
    <t>Benötigte Abschnitte (ohne "X" werden Zeilen ausgeblendet)</t>
  </si>
  <si>
    <t>allgemeiner Teil:</t>
  </si>
  <si>
    <t>Wandlerdaten</t>
  </si>
  <si>
    <t>UMZ-Schutz I&gt;</t>
  </si>
  <si>
    <t>UMZ-Schutz I&gt;&gt;</t>
  </si>
  <si>
    <t>UMZ-Schutz Ie&gt;</t>
  </si>
  <si>
    <t>UMZ-Schutz Ie&gt;&gt;</t>
  </si>
  <si>
    <t>Bürdemessung</t>
  </si>
  <si>
    <t>Isolationsmessung</t>
  </si>
  <si>
    <t>Erdschlussrichtung</t>
  </si>
  <si>
    <t>Spannungsschutz</t>
  </si>
  <si>
    <t>Frequenzschutz</t>
  </si>
  <si>
    <t>QU-Schutz</t>
  </si>
  <si>
    <t>Ausblendung freier Zeilen
-&gt; Zeilennummer angeben
Ohne "x" in Spalte C wird die Zeile ausgeblendet</t>
  </si>
  <si>
    <t>Wandlerdaten -&gt; Dropdown Felder auswählen</t>
  </si>
  <si>
    <t>Spannungs-Wandlerdaten</t>
  </si>
  <si>
    <t>Wandler im Protokoll aktivieren</t>
  </si>
  <si>
    <t>j/n</t>
  </si>
  <si>
    <t>Hersteller / Typ</t>
  </si>
  <si>
    <t>RITZ
EGSES 24D</t>
  </si>
  <si>
    <t>&gt;
Seriennummern eintragen -&gt;
-&gt;</t>
  </si>
  <si>
    <t>Baujahr Spannungswandler</t>
  </si>
  <si>
    <t>Primärspannung</t>
  </si>
  <si>
    <t>kV</t>
  </si>
  <si>
    <t>Klasse</t>
  </si>
  <si>
    <t>Wickl 1</t>
  </si>
  <si>
    <t>Wickl 2</t>
  </si>
  <si>
    <t>Leistung [VA]</t>
  </si>
  <si>
    <t>Primärprüfung mit xx Spannung</t>
  </si>
  <si>
    <t>Verdrahtung d. Wicklungen geprüft:</t>
  </si>
  <si>
    <t>Strom-Wandlerdaten</t>
  </si>
  <si>
    <t>ZELISKO
ESGS 20/1</t>
  </si>
  <si>
    <t>Seriennummer</t>
  </si>
  <si>
    <t>Baujahr Stromwandler</t>
  </si>
  <si>
    <t>Primärprüfung mit xx Ampere</t>
  </si>
  <si>
    <t>Schutzstrom-Wandler (Kabelumbauwandler)</t>
  </si>
  <si>
    <t>Schutzwandler im Protokoll aktivieren</t>
  </si>
  <si>
    <t>hentges
TCR200C60</t>
  </si>
  <si>
    <t>Baujahr Schutz-Stromwandler</t>
  </si>
  <si>
    <t>Primärstrom</t>
  </si>
  <si>
    <t>A</t>
  </si>
  <si>
    <t xml:space="preserve">                                                                      1. Kern Schutzkern?-&gt;
                                                                    1. Kern Messkern?-&gt;
Klasse (2. Kern nur falls vorhanden!)     2. Kern Schutzkern?-&gt;
                                                                    2. Kern Messkern?-&gt;</t>
  </si>
  <si>
    <t>Mess</t>
  </si>
  <si>
    <t>Allgemeine Schutzfunktionsangaben</t>
  </si>
  <si>
    <t>Richtungswirkung UMZ</t>
  </si>
  <si>
    <t>I&gt;</t>
  </si>
  <si>
    <t>ungerichtet</t>
  </si>
  <si>
    <t>I&gt;&gt;</t>
  </si>
  <si>
    <t>Ie&gt;</t>
  </si>
  <si>
    <t>Ie&gt;&gt;</t>
  </si>
  <si>
    <t>U&lt;</t>
  </si>
  <si>
    <t xml:space="preserve">Stromkriterium aktiv </t>
  </si>
  <si>
    <t>Q-&gt;U&lt; Schutz</t>
  </si>
  <si>
    <t>QU-Schutzwerte im Protokoll aktivieren</t>
  </si>
  <si>
    <t>Anlagen Nennleistung Sa:</t>
  </si>
  <si>
    <t>MW</t>
  </si>
  <si>
    <t>Q&gt;U&lt; - Typ:</t>
  </si>
  <si>
    <t>Auslösespannung:</t>
  </si>
  <si>
    <t>V</t>
  </si>
  <si>
    <t>Imin</t>
  </si>
  <si>
    <t>%</t>
  </si>
  <si>
    <t>t Q&gt;U&lt;</t>
  </si>
  <si>
    <t>s</t>
  </si>
  <si>
    <t>Allgemeine Schluss-Bemerkungen im Prüfprotokoll NAP</t>
  </si>
  <si>
    <t>Ausblendung "TEXT" im Protokoll</t>
  </si>
  <si>
    <t>Abschaltung LS UMZ geprüft (gesamte Wirkungskette)</t>
  </si>
  <si>
    <t>ok?</t>
  </si>
  <si>
    <t>Abschaltung LS ÜEKS geprüft (gesamte Wirkungskette)</t>
  </si>
  <si>
    <t>Abschaltung LS im nach Ausfall der Hilfsspannung MS-LS</t>
  </si>
  <si>
    <t>Abschaltung LS im nach Ausfall der Hilfsspannung NS-LS</t>
  </si>
  <si>
    <t>Abschaltung MS-LS im nach Ausfall Schutzrelais (Live Contact)</t>
  </si>
  <si>
    <t>Abschaltung NS-LS im nach Ausfall Schutzrelais (Live Contact)</t>
  </si>
  <si>
    <t>DC Batterieanlage übergeordneter Schutz/ggfs. UMZ-Schutz in Ordnung</t>
  </si>
  <si>
    <t>DC Batterieanlage untergeordneter Schutz in Ordnung</t>
  </si>
  <si>
    <t>Eigenzeit Leistungsschalter MS über UMZ Funktion</t>
  </si>
  <si>
    <t>WERT</t>
  </si>
  <si>
    <t>Eigenzeit Leistungsschalter über Spg-Fkt</t>
  </si>
  <si>
    <t>Eigenzeit Leistungsschalter  an der    EZE</t>
  </si>
  <si>
    <t>Allgemeine Schutzfunktionsangaben für Schutz an EZE</t>
  </si>
  <si>
    <t>Beispiele für weitere Prüfwerte</t>
  </si>
  <si>
    <t>Nennspannung der Messwerte</t>
  </si>
  <si>
    <t>2. Überspannungstufe aktiv??? (z.B. Sachsennetze)</t>
  </si>
  <si>
    <t xml:space="preserve">-&gt; x </t>
  </si>
  <si>
    <t>Rückfallwert U&gt;&gt;</t>
  </si>
  <si>
    <t>Rückfallwert U&lt;</t>
  </si>
  <si>
    <t>Rückfallwert U&lt;&lt;</t>
  </si>
  <si>
    <t>IT Netz Prüfungen -&gt; Namen anpassen für U&lt;&lt; Pulsrampe -&gt;</t>
  </si>
  <si>
    <t>Allgemeine Schluss-Bemerkungen im Prüfprotokoll der EZE</t>
  </si>
  <si>
    <t>Ausblendung "TEXT"</t>
  </si>
  <si>
    <t>Abschaltung NS-LS im Fehlerfall geprüft (gesamte Wirkungskette)</t>
  </si>
  <si>
    <t>Anzeigedaten für Protokoll</t>
  </si>
  <si>
    <t>Bemerkungen Spg-Schutz</t>
  </si>
  <si>
    <t>U&gt;</t>
  </si>
  <si>
    <t>Anzeige LED: U&gt;
Funktion in Ordnung</t>
  </si>
  <si>
    <t>Anzeige LED: Anregung f&lt;
Funktion in Ordnung</t>
  </si>
  <si>
    <t>U&gt;&gt;</t>
  </si>
  <si>
    <t>Anzeige LED: U&gt;&gt; 
Funktion in Ordnung</t>
  </si>
  <si>
    <t>Anzeige LED: U&lt;
Funktion in Ordnung</t>
  </si>
  <si>
    <t>U&lt;&lt;</t>
  </si>
  <si>
    <t>Anzeige LED: U&lt;&lt;
Funktion in Ordnung</t>
  </si>
  <si>
    <t>Bemerkungen Freq-Schutz</t>
  </si>
  <si>
    <t>Anzeige LED: f&lt;&gt; - Funktion in Ordnung</t>
  </si>
  <si>
    <t>Allgemeine automatische Datenübernahmefelder</t>
  </si>
  <si>
    <t>X für Ausblendung</t>
  </si>
  <si>
    <t>Baujahr:</t>
  </si>
  <si>
    <t>Serien-Nr. Station:</t>
  </si>
  <si>
    <t>Schutzgerät Typ/Hersteller:</t>
  </si>
  <si>
    <t>Schutzgerät Serien-Nr.:</t>
  </si>
  <si>
    <t>Ort der Prüfung:</t>
  </si>
  <si>
    <t>Prüfdatum:</t>
  </si>
  <si>
    <t>Nächste Wiederholungsprüfung:</t>
  </si>
  <si>
    <t>Anlagenteil übergeordneter Schutz:</t>
  </si>
  <si>
    <t>Anlagenteil untergeordneter Schutz:</t>
  </si>
  <si>
    <t xml:space="preserve">Prüfprotokoll </t>
  </si>
  <si>
    <t>zum Nachweis eines Multifunktionsschutzrelais</t>
  </si>
  <si>
    <t>Prüfer</t>
  </si>
  <si>
    <t>G.E.S. Energietechnik GmbH</t>
  </si>
  <si>
    <t>Ferchlipp 16</t>
  </si>
  <si>
    <t>39615 Altmärkische Wische</t>
  </si>
  <si>
    <t>Email:</t>
  </si>
  <si>
    <t>Mobil:</t>
  </si>
  <si>
    <t>Prüfgerät:</t>
  </si>
  <si>
    <t>Protokoll-Nummer:</t>
  </si>
  <si>
    <t>Projekt</t>
  </si>
  <si>
    <t>Auftraggeber:</t>
  </si>
  <si>
    <t>Allgemeine Angaben</t>
  </si>
  <si>
    <t>Anlagenteil:</t>
  </si>
  <si>
    <t>Schutzrelaiseinstellung:</t>
  </si>
  <si>
    <t>Rechtsdrehfeld</t>
  </si>
  <si>
    <t>sekundäre Verdrahtungsprüfung durchgeführt:     x</t>
  </si>
  <si>
    <t>Verbraucherzählpfeilsystem</t>
  </si>
  <si>
    <t>Überstromschutz</t>
  </si>
  <si>
    <t>Einstellwerte</t>
  </si>
  <si>
    <t>Ansprechwert</t>
  </si>
  <si>
    <t>Verzögerung</t>
  </si>
  <si>
    <t>Phase</t>
  </si>
  <si>
    <t>Rückfall</t>
  </si>
  <si>
    <t>A/R</t>
  </si>
  <si>
    <t>Auslösezeit</t>
  </si>
  <si>
    <t>Primär</t>
  </si>
  <si>
    <t>Sekundär</t>
  </si>
  <si>
    <t>Richtung</t>
  </si>
  <si>
    <t>L1-L2-L3</t>
  </si>
  <si>
    <t>Bemerkungen:</t>
  </si>
  <si>
    <t>IE&gt;</t>
  </si>
  <si>
    <t>IE&gt;&gt;</t>
  </si>
  <si>
    <t>Über- und Unterspannungsschutz</t>
  </si>
  <si>
    <t>L1-L2</t>
  </si>
  <si>
    <t>L2-L3</t>
  </si>
  <si>
    <t>L3-L1</t>
  </si>
  <si>
    <t>Auswertung</t>
  </si>
  <si>
    <t>Δ / Leiter-Leiter</t>
  </si>
  <si>
    <t>-</t>
  </si>
  <si>
    <t>Über- und Unterfrequenzschutz</t>
  </si>
  <si>
    <t>Einschaltung</t>
  </si>
  <si>
    <t>f&lt;</t>
  </si>
  <si>
    <t>f&gt;</t>
  </si>
  <si>
    <t>Erdschlußrichtung</t>
  </si>
  <si>
    <t>Rückfallwert</t>
  </si>
  <si>
    <t>Ie,S</t>
  </si>
  <si>
    <t>1,8 A</t>
  </si>
  <si>
    <t>UNE&gt;</t>
  </si>
  <si>
    <t>30,06 V</t>
  </si>
  <si>
    <t>29,76 V</t>
  </si>
  <si>
    <t>8,014 s</t>
  </si>
  <si>
    <t>10,38 kV</t>
  </si>
  <si>
    <t>tue&gt;</t>
  </si>
  <si>
    <t>8 s</t>
  </si>
  <si>
    <t>50,6 mA</t>
  </si>
  <si>
    <t>50,0 mA</t>
  </si>
  <si>
    <t>vorwärts/rückwärts</t>
  </si>
  <si>
    <t>Q&gt; U&lt; - Schutz</t>
  </si>
  <si>
    <t>primär</t>
  </si>
  <si>
    <t>sekundär</t>
  </si>
  <si>
    <t>S oder Φ</t>
  </si>
  <si>
    <t>NAP</t>
  </si>
  <si>
    <t>Auswertung der Leiter-Leiter Spannungen</t>
  </si>
  <si>
    <t>Prüfungen</t>
  </si>
  <si>
    <t>Unterspannungskriterium</t>
  </si>
  <si>
    <t>Stromkriterium</t>
  </si>
  <si>
    <t>ΔU</t>
  </si>
  <si>
    <t>ΔI</t>
  </si>
  <si>
    <t>Blindleistungswinkel</t>
  </si>
  <si>
    <t>Blindleistungsschwelle</t>
  </si>
  <si>
    <t>bei 0,3 A I 1</t>
  </si>
  <si>
    <t>bei 0,8 A I 1</t>
  </si>
  <si>
    <t>ΔΦ</t>
  </si>
  <si>
    <t>bei 225 kW</t>
  </si>
  <si>
    <t>bei 900 kW</t>
  </si>
  <si>
    <t>ΔQ</t>
  </si>
  <si>
    <t>P-Aufnahme</t>
  </si>
  <si>
    <t>P-Abgabe</t>
  </si>
  <si>
    <t>NAP [ms]</t>
  </si>
  <si>
    <t>EZE [ms]</t>
  </si>
  <si>
    <t>UND-Verknüpfungen der Spannungen (Spannungslogik)</t>
  </si>
  <si>
    <t>betroffene Phasen</t>
  </si>
  <si>
    <t>Auslösung</t>
  </si>
  <si>
    <t>OK</t>
  </si>
  <si>
    <t>Fehler - UL1L2</t>
  </si>
  <si>
    <t>Fehler - UL2L3</t>
  </si>
  <si>
    <t>Fehler - UL3L1</t>
  </si>
  <si>
    <t>Fehler - UL1L2 / UL3L1</t>
  </si>
  <si>
    <t>Fehler - UL1L2 / UL2L3 / UL3L1</t>
  </si>
  <si>
    <t>Richtungstest - Variation des Leistungswinkel</t>
  </si>
  <si>
    <t>Spannung 
L1/L2/L3</t>
  </si>
  <si>
    <t>Strom</t>
  </si>
  <si>
    <t>L1 [°]</t>
  </si>
  <si>
    <t>L2 [°]</t>
  </si>
  <si>
    <t>L3 [°]</t>
  </si>
  <si>
    <t>Leistungsschutz</t>
  </si>
  <si>
    <t>P&gt;</t>
  </si>
  <si>
    <t>-199 kW</t>
  </si>
  <si>
    <t>10,4 s</t>
  </si>
  <si>
    <t>-200 kW</t>
  </si>
  <si>
    <t>-192 kW</t>
  </si>
  <si>
    <t>10,46 s</t>
  </si>
  <si>
    <t>P&gt;&gt;</t>
  </si>
  <si>
    <t>-364 kW</t>
  </si>
  <si>
    <t>3,4 s</t>
  </si>
  <si>
    <t>-349 kW</t>
  </si>
  <si>
    <t>3,46 s</t>
  </si>
  <si>
    <t>U&lt; Sperre</t>
  </si>
  <si>
    <t>51,93 V</t>
  </si>
  <si>
    <t>52,63 V</t>
  </si>
  <si>
    <t xml:space="preserve">Bemerkungen: </t>
  </si>
  <si>
    <t>Abschlussbemerkungen</t>
  </si>
  <si>
    <t>Abschaltungen:</t>
  </si>
  <si>
    <t>in Ordnung</t>
  </si>
  <si>
    <t>Die Anlage befindet sich zum Zeitpunkt der Prüfung in einem ordnungsgemäßen und betriebssicheren Zustand.</t>
  </si>
  <si>
    <t>Die im Prüfprotokoll angegebenen "Auslösezeiten" sind reine Zeiten des Schutzrelais, gemessen am BA</t>
  </si>
  <si>
    <t>allgemeine Angaben:</t>
  </si>
  <si>
    <t>sekundäre Verdrahtungsprüfung ab Klemmleiste durchgeführt</t>
  </si>
  <si>
    <t>Name</t>
  </si>
  <si>
    <t>Datum</t>
  </si>
  <si>
    <t>Strom- und Spannungswandler</t>
  </si>
  <si>
    <t>Erdung</t>
  </si>
  <si>
    <t>Leistung</t>
  </si>
  <si>
    <t>Übersetzung:</t>
  </si>
  <si>
    <t>W1</t>
  </si>
  <si>
    <t>100 V / √3</t>
  </si>
  <si>
    <t xml:space="preserve">Baujahr: </t>
  </si>
  <si>
    <t xml:space="preserve">Spannungswandler geschaltet auf: </t>
  </si>
  <si>
    <t>Bürdemessung Spannungswandler</t>
  </si>
  <si>
    <t>Einspeisung</t>
  </si>
  <si>
    <t>Bürde L1-N</t>
  </si>
  <si>
    <t>Bürde L2-N</t>
  </si>
  <si>
    <t>Bürde L3-N</t>
  </si>
  <si>
    <t>Spannungs-wandler</t>
  </si>
  <si>
    <t>Zählerwicklung</t>
  </si>
  <si>
    <t>Mess-&amp;Schutzkreis</t>
  </si>
  <si>
    <t>da-dn Kreis</t>
  </si>
  <si>
    <t>kein Zähler verbaut</t>
  </si>
  <si>
    <t>Primärprüfung Spannungswandler</t>
  </si>
  <si>
    <t>Primärprüfspannung:</t>
  </si>
  <si>
    <t>Usekundär</t>
  </si>
  <si>
    <t>Messwicklung</t>
  </si>
  <si>
    <t>am Schutzrelais</t>
  </si>
  <si>
    <t>Hilfswicklung</t>
  </si>
  <si>
    <t>Uen gesamt:</t>
  </si>
  <si>
    <t>Wicklungszuordnung und Phasenverdrahtung in Ordnung:</t>
  </si>
  <si>
    <t>Verdrahtung geprüft bis:</t>
  </si>
  <si>
    <t>K1</t>
  </si>
  <si>
    <t>Stromwandler geschaltet auf:</t>
  </si>
  <si>
    <t>P1 zum Netzbetreiber:</t>
  </si>
  <si>
    <t>Bürdemessung Stromwandler</t>
  </si>
  <si>
    <t>Strom-
wandler</t>
  </si>
  <si>
    <t>Zählerkreis</t>
  </si>
  <si>
    <t>Messkreis</t>
  </si>
  <si>
    <t>Schutzkreis</t>
  </si>
  <si>
    <t>Primärprüfung Stromwandler</t>
  </si>
  <si>
    <t>Primärprüfstrom:</t>
  </si>
  <si>
    <t>Übersetzungskontrolle:</t>
  </si>
  <si>
    <t>Phasenzuordnung+Übersetzung in Ordnung:</t>
  </si>
  <si>
    <t>Bürdemessung Kabelumbau - Stromwandler</t>
  </si>
  <si>
    <t>Primärprüfung Kabelumbau - Stromwandler</t>
  </si>
  <si>
    <t>Phasenzuordnung und Übersetzung in Ordnung:</t>
  </si>
  <si>
    <t>Unterschrift</t>
  </si>
  <si>
    <t xml:space="preserve">Entkupplungsschutz an der Erzeugereinheit  /  Zwischengelagerter Schutz / NA-Schutz	</t>
  </si>
  <si>
    <t>Automatische Wiederzuschaltung</t>
  </si>
  <si>
    <t>U/Un</t>
  </si>
  <si>
    <t>Firmware Schutzrelais</t>
  </si>
  <si>
    <t>Spannungsschutz - U&lt; U&lt;&lt; U&gt; U&gt;&gt;</t>
  </si>
  <si>
    <t>AWZ-Freigabe</t>
  </si>
  <si>
    <t>f&gt;&gt;</t>
  </si>
  <si>
    <t>"Auslösezeiten" im Protokoll sind reine Zeiten des Schutzrelais, gemessen am BA</t>
  </si>
  <si>
    <t>Schutzart</t>
  </si>
  <si>
    <t>Typ</t>
  </si>
  <si>
    <t>Rohdaten</t>
  </si>
  <si>
    <t>umgerechnet</t>
  </si>
  <si>
    <t>Rückfallverhältnis</t>
  </si>
  <si>
    <t>verkettete Spg</t>
  </si>
  <si>
    <t>fürs Protokoll</t>
  </si>
  <si>
    <t>Allgemeine Kommentare</t>
  </si>
  <si>
    <t>SOLL</t>
  </si>
  <si>
    <t>IST</t>
  </si>
  <si>
    <t>U-Gr-Anr-L1L2</t>
  </si>
  <si>
    <t>Umrechnungsfaktor anpassen: Wurzel 3 zu 1,73 -&gt;</t>
  </si>
  <si>
    <t>U-Gr-Rückfall-L1L2</t>
  </si>
  <si>
    <t>U-Gr-Anr-L2L3</t>
  </si>
  <si>
    <t>U-Gr-Rückfall-L2L3</t>
  </si>
  <si>
    <t>U-Gr-Anr-L1L3</t>
  </si>
  <si>
    <t>U-Gr-Rückfall-L1L3</t>
  </si>
  <si>
    <t>U-Gr-Anr-L1L2L3</t>
  </si>
  <si>
    <t>U-Gr-Rückfall-L1L2L3</t>
  </si>
  <si>
    <t>U-GrGr-Anr-L1L2</t>
  </si>
  <si>
    <t>U-GrGr-Rückfall-L1L2</t>
  </si>
  <si>
    <t>U-GrGr-Anr-L2L3</t>
  </si>
  <si>
    <t>U-GrGr-Rückfall-L2L3</t>
  </si>
  <si>
    <t>U-GrGr-Anr-L1L3</t>
  </si>
  <si>
    <t>U-GrGr-Rückfall-L1L3</t>
  </si>
  <si>
    <t>U-GrGr-Anr-L1L2L3</t>
  </si>
  <si>
    <t>U-GrGr-Rückfall-L1L2L3</t>
  </si>
  <si>
    <t>U-Kl-Anr-L1L2</t>
  </si>
  <si>
    <t>U-Kl-Rückfall-L1L2</t>
  </si>
  <si>
    <t>U-Kl-Anr-L2L3</t>
  </si>
  <si>
    <t>U-Kl-Rückfall-L2L3</t>
  </si>
  <si>
    <t>U-Kl-Anr-L1L3</t>
  </si>
  <si>
    <t>U-Kl-Rückfall-L1L3</t>
  </si>
  <si>
    <t>U-Kl-Anr-L1L2L3</t>
  </si>
  <si>
    <t>U-Kl-Rückfall-L1L2L3</t>
  </si>
  <si>
    <t>UMZ</t>
  </si>
  <si>
    <t>I-Gr-Anr-L1</t>
  </si>
  <si>
    <t>Richtungsentscheid</t>
  </si>
  <si>
    <t>Funktion in Ordnung - Anzeige LED: Anregung I&gt; I&gt;&gt;</t>
  </si>
  <si>
    <t>I-Gr-Rückfall-L1</t>
  </si>
  <si>
    <t>vorwärts</t>
  </si>
  <si>
    <t>Funktion in Ordnung - Anzeige LED: Anregung I&gt;&gt;</t>
  </si>
  <si>
    <t>I-Gr-Anr-L2</t>
  </si>
  <si>
    <t>rückwärts</t>
  </si>
  <si>
    <t>Funktion in Ordnung - Anzeige LED: Anregung I&gt;</t>
  </si>
  <si>
    <t>I-Gr-Rückfall-L2</t>
  </si>
  <si>
    <t>Funktion in Ordnung - Anzeige LED: Anregung Ie&gt;</t>
  </si>
  <si>
    <t>I-Gr-Anr-L3</t>
  </si>
  <si>
    <t>Funktion in Ordnung</t>
  </si>
  <si>
    <t>I-Gr-Rückfall-L3</t>
  </si>
  <si>
    <t>I-Gr-Anr-L1L2L3</t>
  </si>
  <si>
    <t>I-Gr-Rückfall-L1L2L3</t>
  </si>
  <si>
    <t>I-GrGr-Anr-L1</t>
  </si>
  <si>
    <t>I-GrGr-Rückfall-L1</t>
  </si>
  <si>
    <t>I-GrGr-Anr-L2</t>
  </si>
  <si>
    <t>I-GrGr-Rückfall-L2</t>
  </si>
  <si>
    <t>I-GrGr-Anr-L3</t>
  </si>
  <si>
    <t>I-GrGr-Rückfall-L3</t>
  </si>
  <si>
    <t>I-GrGr-Anr-L1L2L3</t>
  </si>
  <si>
    <t>I-GrGr-Rückfall-L1L2L3</t>
  </si>
  <si>
    <t>Ie-Gr-Anr-L1</t>
  </si>
  <si>
    <t>Ie-Gr-Rückfall-L1</t>
  </si>
  <si>
    <t>Ie-Gr-Anr-L2</t>
  </si>
  <si>
    <t>Ie-Gr-Rückfall-L2</t>
  </si>
  <si>
    <t>Ie-Gr-Anr-L3</t>
  </si>
  <si>
    <t>Ie-Gr-Rückfall-L3</t>
  </si>
  <si>
    <t>Ie-GrGr-Anr-L1</t>
  </si>
  <si>
    <t>Ie-GrGr-Rückfall-L1</t>
  </si>
  <si>
    <t>Ie-GrGr-Anr-L2</t>
  </si>
  <si>
    <t>Ie-GrGr-Rückfall-L2</t>
  </si>
  <si>
    <t>Ie-GrGr-Anr-L3</t>
  </si>
  <si>
    <t>Ie-GrGr-Rückfall-L3</t>
  </si>
  <si>
    <t>QU-U-Kl-Anr-L1L2L3</t>
  </si>
  <si>
    <t>QU-U-Kl-Rückfall-L1L2L3</t>
  </si>
  <si>
    <t>QU-I-Kl-Anr-L1L2L3</t>
  </si>
  <si>
    <t>QU-I-Kl-Rückfall-L1L2L3</t>
  </si>
  <si>
    <t>Saus</t>
  </si>
  <si>
    <t>QU-P-Aufnahme-Anr-S1</t>
  </si>
  <si>
    <t>QU-P-Aufnahme-Anr-S2</t>
  </si>
  <si>
    <t>QU-P-Abgabe-Anr-S1</t>
  </si>
  <si>
    <t>QU-P-Abgabe-Anr-S2</t>
  </si>
  <si>
    <t>° AUS</t>
  </si>
  <si>
    <t>QU-K-Aufnahme-Anr-S1</t>
  </si>
  <si>
    <t>QU-K-Aufnahme-Anr-S2</t>
  </si>
  <si>
    <t>QU-K-Abgabe-Anr-S1</t>
  </si>
  <si>
    <t>QU-K-Abgabe-Anr-S2</t>
  </si>
  <si>
    <t>Frequenz</t>
  </si>
  <si>
    <t>F-Kl-Anr-L1L2L3</t>
  </si>
  <si>
    <t>F-Kl-Rückfall-L1L2L3</t>
  </si>
  <si>
    <t>F-GR-Anr-L1L2L3</t>
  </si>
  <si>
    <t>F-GR-Rückfall-L1L2L3</t>
  </si>
  <si>
    <t>tU&gt; L1L2</t>
  </si>
  <si>
    <t>Anzeige LED: Anregung U&gt; U&gt;&gt;
Funktion in Ordnung</t>
  </si>
  <si>
    <t>tU&gt; L2L3</t>
  </si>
  <si>
    <t>Anzeige LED: Anregung U&gt;
Funktion in Ordnung</t>
  </si>
  <si>
    <t>tU&gt; L3L1</t>
  </si>
  <si>
    <t>Anzeige LED: Anregung U&gt;&gt;
Funktion in Ordnung</t>
  </si>
  <si>
    <t>tU&gt; L1L2L3</t>
  </si>
  <si>
    <t xml:space="preserve">Anzeige LED: Anregung U&lt;
Funktion in Ordnung
Stromkriterium aktiv </t>
  </si>
  <si>
    <t>tU&gt;&gt; L1L2</t>
  </si>
  <si>
    <t>Anzeige LED: Anregung U&gt; U&gt;&gt;
Funktion in Ordnung - Auslösung NS-LS</t>
  </si>
  <si>
    <t>tU&gt;&gt; L2L3</t>
  </si>
  <si>
    <t>Anzeige LED: Anregung U&gt;
Funktion in Ordnung - Auslösung NS-LS</t>
  </si>
  <si>
    <t>tU&gt;&gt; L3L1</t>
  </si>
  <si>
    <t>Anzeige LED: Anregung U&gt;&gt;
Funktion in Ordnung - Auslösung NS-LS</t>
  </si>
  <si>
    <t>tU&gt;&gt; L1L2L3</t>
  </si>
  <si>
    <t xml:space="preserve">Anzeige LED: Anregung U&lt;
Funktion in Ordnung - Auslösung NS-LS
Stromkriterium aktiv </t>
  </si>
  <si>
    <t>tU&lt; L1L2</t>
  </si>
  <si>
    <t>Anzeige LED: Anregung U&lt;
Funktion in Ordnung - Auslösung NS-LS</t>
  </si>
  <si>
    <t>tU&lt; L2L3</t>
  </si>
  <si>
    <t>tU&lt; L3L1</t>
  </si>
  <si>
    <t>tU&lt; L1L2L3</t>
  </si>
  <si>
    <t>Auslösezeit I&gt; L1</t>
  </si>
  <si>
    <t>Auslösezeit I&gt; L2</t>
  </si>
  <si>
    <t>Auslösezeit I&gt; L3</t>
  </si>
  <si>
    <t>Auslösezeit I&gt; L1L2L3</t>
  </si>
  <si>
    <t>Auslösezeit I&gt;&gt; L1</t>
  </si>
  <si>
    <t>Auslösezeit I&gt;&gt; L2</t>
  </si>
  <si>
    <t>Auslösezeit I&gt;&gt; L3</t>
  </si>
  <si>
    <t>Auslösezeit I&gt;&gt; L1L2L3</t>
  </si>
  <si>
    <t>Auslösezeit L1-N</t>
  </si>
  <si>
    <t>Auslösezeit L2-N</t>
  </si>
  <si>
    <t>Auslösezeit L3-N</t>
  </si>
  <si>
    <t>Auslösezeit L1GRGR-N</t>
  </si>
  <si>
    <t>Auslösezeit L2GRGR-N</t>
  </si>
  <si>
    <t>Auslösezeit L3GRGR-N</t>
  </si>
  <si>
    <t>QU-AUS-Gen</t>
  </si>
  <si>
    <t>f&lt;&gt;</t>
  </si>
  <si>
    <t>t f&lt;</t>
  </si>
  <si>
    <t>Anzeige LED: Anregung f&lt;&gt;
Funktion in Ordnung</t>
  </si>
  <si>
    <t>t f&gt;</t>
  </si>
  <si>
    <t>LS</t>
  </si>
  <si>
    <t>t_HiKo_UMZ</t>
  </si>
  <si>
    <t>LS Eigenzeit</t>
  </si>
  <si>
    <t>t_HiKo_SPG</t>
  </si>
  <si>
    <t>Listen</t>
  </si>
  <si>
    <t>Schutzrelais</t>
  </si>
  <si>
    <t>7SJ80/Siemens</t>
  </si>
  <si>
    <t>Felder</t>
  </si>
  <si>
    <t>Omicron Typen</t>
  </si>
  <si>
    <t>MRA4/SEG</t>
  </si>
  <si>
    <t>K01</t>
  </si>
  <si>
    <t>NS</t>
  </si>
  <si>
    <t>Omicron CMC 356 (QD252Z)</t>
  </si>
  <si>
    <t>MCA4/SEG</t>
  </si>
  <si>
    <t>K02</t>
  </si>
  <si>
    <t>MS</t>
  </si>
  <si>
    <t>Omicron CMC 353 (HM699S)</t>
  </si>
  <si>
    <t>MRU/SEG</t>
  </si>
  <si>
    <t>K03</t>
  </si>
  <si>
    <t>Omicron CMC 353 (EN075D)</t>
  </si>
  <si>
    <t>K04</t>
  </si>
  <si>
    <t>Omicron CMC 356 (LN417X)</t>
  </si>
  <si>
    <t>Symap compact +F4/Stucke</t>
  </si>
  <si>
    <t>K05</t>
  </si>
  <si>
    <t>Omicron CMC 353 (QN109A)</t>
  </si>
  <si>
    <t>Symap compact F1/Stucke</t>
  </si>
  <si>
    <t>K06</t>
  </si>
  <si>
    <t>Omicron CMC 353 (QN249Z)</t>
  </si>
  <si>
    <t>DSREY6-1/Sprecher Automation</t>
  </si>
  <si>
    <t>K07</t>
  </si>
  <si>
    <t>REF615/ABB</t>
  </si>
  <si>
    <t>J01</t>
  </si>
  <si>
    <t>P130/Schneider elec.</t>
  </si>
  <si>
    <t>J02</t>
  </si>
  <si>
    <t>P132/Schneider elec.</t>
  </si>
  <si>
    <t>J03</t>
  </si>
  <si>
    <t>Kombisafe+ RF/NSE AG</t>
  </si>
  <si>
    <t>J04</t>
  </si>
  <si>
    <t>SG50/NSE AG</t>
  </si>
  <si>
    <t>J05</t>
  </si>
  <si>
    <t>7SA61/Siemens</t>
  </si>
  <si>
    <t>J06</t>
  </si>
  <si>
    <t>7SJ62/Siemens</t>
  </si>
  <si>
    <t>J07</t>
  </si>
  <si>
    <t>7SA60/Siemens</t>
  </si>
  <si>
    <t>H01</t>
  </si>
  <si>
    <t>H02</t>
  </si>
  <si>
    <t>H03</t>
  </si>
  <si>
    <t>H04</t>
  </si>
  <si>
    <t>H05</t>
  </si>
  <si>
    <t>Trafostufenschalter</t>
  </si>
  <si>
    <t>H06</t>
  </si>
  <si>
    <t>3 von 5</t>
  </si>
  <si>
    <t>H07</t>
  </si>
  <si>
    <t>2 von 3</t>
  </si>
  <si>
    <t>keine Stufung</t>
  </si>
  <si>
    <t>Rohdaten Ph-N</t>
  </si>
  <si>
    <t>umgerechnet Ph-N</t>
  </si>
  <si>
    <t>Rückfallverhältnis
Ph-N</t>
  </si>
  <si>
    <t>Rückfallverhältnis
Ph-Ph</t>
  </si>
  <si>
    <t>fürs Protokoll Ph-N</t>
  </si>
  <si>
    <t>fürs Protokoll Ph-Ph</t>
  </si>
  <si>
    <t xml:space="preserve">Check Rückfall
</t>
  </si>
  <si>
    <t>U-Gr-Anr-L1</t>
  </si>
  <si>
    <t>U-Gr-Rückfall-L1</t>
  </si>
  <si>
    <t>U-Gr-Anr-L2</t>
  </si>
  <si>
    <t>Auswertung korrektes Rückfallverhaltnis aller Spannungen</t>
  </si>
  <si>
    <t>U-Gr-Anr-L3</t>
  </si>
  <si>
    <t>U-Gr-Anr-L1L2L3_EZE</t>
  </si>
  <si>
    <t>U-Gr-EIN-L1L2L3_EZE</t>
  </si>
  <si>
    <t>Betrag U L1-Eu</t>
  </si>
  <si>
    <t>U-GRGR-Rückfall-L1</t>
  </si>
  <si>
    <t>Betrag U L2-Eu</t>
  </si>
  <si>
    <t>Betrag U L3-Eu</t>
  </si>
  <si>
    <t>Betrag U L1L2L3-E</t>
  </si>
  <si>
    <t>U-Kl-Anr-L1</t>
  </si>
  <si>
    <t>U-Kl-Rückfall-L1</t>
  </si>
  <si>
    <t>U-Kl-Anr-L2</t>
  </si>
  <si>
    <t>U-Kl-Anr-L3</t>
  </si>
  <si>
    <t>U-Kl-Anr-L1L2L3_EZE</t>
  </si>
  <si>
    <t>U-Kl-EIN-L1L2L3_EZE</t>
  </si>
  <si>
    <t>Betrag U L1-E</t>
  </si>
  <si>
    <t>U-KlKl-Rückfall-L1</t>
  </si>
  <si>
    <t>Betrag U L2-E</t>
  </si>
  <si>
    <t>Betrag U L3-E</t>
  </si>
  <si>
    <t>Betrag U L1-E~fU L2-E~fU L3-E</t>
  </si>
  <si>
    <t>F-Kl-Anr-L1L2L3u</t>
  </si>
  <si>
    <t>F-Kl-Rückfall-L1L2L3u</t>
  </si>
  <si>
    <t>F-GR-Anr-L1L2L3u</t>
  </si>
  <si>
    <t>F-GR-Rückfall-L1L2L3u</t>
  </si>
  <si>
    <t>Frequenz U L1-E~fU L2-E~fU L3-E</t>
  </si>
  <si>
    <t>tU&gt; L1</t>
  </si>
  <si>
    <t>tU&gt; L2</t>
  </si>
  <si>
    <t>tU&gt; L3</t>
  </si>
  <si>
    <t>tU&gt; L1L2L3u</t>
  </si>
  <si>
    <t>tU&gt;&gt; L1</t>
  </si>
  <si>
    <t>tU&gt;&gt; L2</t>
  </si>
  <si>
    <t>tU&gt;&gt; L3</t>
  </si>
  <si>
    <t>tU&gt;&gt; L1L2L3u</t>
  </si>
  <si>
    <t>tU&lt; L1</t>
  </si>
  <si>
    <t>tU&lt; L2</t>
  </si>
  <si>
    <t>tU&lt; L3</t>
  </si>
  <si>
    <t>tU&lt; L1L2L3u</t>
  </si>
  <si>
    <t>tU&lt;&lt; L1</t>
  </si>
  <si>
    <t>tU&lt;&lt; L2</t>
  </si>
  <si>
    <t>tU&lt;&lt; L3</t>
  </si>
  <si>
    <t>tU&lt;&lt; L1L2L3u</t>
  </si>
  <si>
    <t>t f&lt;u</t>
  </si>
  <si>
    <t>Anzeige LED: f&lt;&gt;
Funktion in Ordnung</t>
  </si>
  <si>
    <t>t f&gt;u</t>
  </si>
  <si>
    <t>t f&gt;&gt;</t>
  </si>
  <si>
    <t>Abschaltung LS_HiKo</t>
  </si>
  <si>
    <t>Eigenzeit LS</t>
  </si>
  <si>
    <t>Weitere allgmeine Daten</t>
  </si>
  <si>
    <t>Berechnung UNS für EZE</t>
  </si>
  <si>
    <t>ABB-CM-UFD.M31</t>
  </si>
  <si>
    <t>Symap +F4/Stucke</t>
  </si>
  <si>
    <t>Schutz-Stromwandler</t>
  </si>
  <si>
    <t>Auslösezeiten Leistungsschalter</t>
  </si>
  <si>
    <t>Hersteller/Typ</t>
  </si>
  <si>
    <t>Verdrahtung der Wicklungen geprüft bis:</t>
  </si>
  <si>
    <t>Primärprüfung</t>
  </si>
  <si>
    <t>Verdrahtung d. Kerne geprüft bis</t>
  </si>
  <si>
    <t xml:space="preserve">33,3 ms </t>
  </si>
  <si>
    <t>ABB NS-LS</t>
  </si>
  <si>
    <t>1250 A</t>
  </si>
  <si>
    <t>TMAX T7</t>
  </si>
  <si>
    <t>Hornhausen</t>
  </si>
  <si>
    <t>Eigenzeit ABB NS-Leistungsschalter: 33,3 ms (gemessen bei U&gt;&gt; L1L2L3)</t>
  </si>
  <si>
    <t>Zählerschrank,Schutzrelais,Parkregelung (Klemmen),dadn</t>
  </si>
  <si>
    <t>Anzeige Messwerte: Schutzrelais-&gt;in Ordnung</t>
  </si>
  <si>
    <t>12,5 A</t>
  </si>
  <si>
    <t>Zählerschrank, Parksteuerung</t>
  </si>
  <si>
    <t>RITZ
KSOH1555H</t>
  </si>
  <si>
    <t>5P20
0,2</t>
  </si>
  <si>
    <t>5 VA</t>
  </si>
  <si>
    <t>S2</t>
  </si>
  <si>
    <t>Leistungsrichtung der einzelnen Wandler kontrolliert (0°,90°, 180°, 270°) -&gt; in Ordnung</t>
  </si>
  <si>
    <t>24,2 ms</t>
  </si>
  <si>
    <t>SACE Emax2 - E1.2N</t>
  </si>
  <si>
    <t>Zerbst</t>
  </si>
  <si>
    <t>Eigenzeit ABB NS-Leistungsschalter: 24,2 ms (gemessen bei U&gt;&gt; L1L2L3)</t>
  </si>
  <si>
    <t>ZELISKO
EEGS 20</t>
  </si>
  <si>
    <t>Zählerschrank, Schutzrelais, Parkregelung, dadn</t>
  </si>
  <si>
    <t>Anzeige Messwerte: Schutzrelais und Janitza-&gt;in Ordnung</t>
  </si>
  <si>
    <t>25 A</t>
  </si>
  <si>
    <t>Zählerschrank, Parksteuerung, Schutz</t>
  </si>
  <si>
    <t>RITZ
EASS24-01</t>
  </si>
  <si>
    <t>5P20</t>
  </si>
  <si>
    <t>10 VA</t>
  </si>
  <si>
    <t>S1</t>
  </si>
  <si>
    <t>32,9 ms</t>
  </si>
  <si>
    <t>Siemens MS-LS</t>
  </si>
  <si>
    <t>Kemnitz</t>
  </si>
  <si>
    <t>Eigenzeit Siemens MS-Leistungsschalter: 32,9 ms (gemessen bei I&gt; L1L2L3)</t>
  </si>
  <si>
    <t>SIEMENS
4MT8 ZEK</t>
  </si>
  <si>
    <t>Zählerschrank, Schutzrelais, Parkregelung (Klemmen)</t>
  </si>
  <si>
    <t>Im VZS wurden die Spannungswandler vor den Stromwandlern verbaut.</t>
  </si>
  <si>
    <t>RITZ
EGIS24d</t>
  </si>
  <si>
    <t>50 A</t>
  </si>
  <si>
    <t>SIEMENS
4MC6313LZI</t>
  </si>
  <si>
    <t>10P10</t>
  </si>
  <si>
    <t>0,25 VA</t>
  </si>
  <si>
    <t>S2 (Klemme)</t>
  </si>
  <si>
    <t>68,9 ms</t>
  </si>
  <si>
    <t>Siemens NS-LS</t>
  </si>
  <si>
    <t>SD100</t>
  </si>
  <si>
    <t>Langenlonsheim</t>
  </si>
  <si>
    <t>Eigenzeit Siemens NS-Leistungsschalter: 68,9 ms (gemessen bei U&lt; L1L2L3)</t>
  </si>
  <si>
    <t>ABB
TJC 6</t>
  </si>
  <si>
    <t>Zählerschrank, Schutzrelais, Parkregelung</t>
  </si>
  <si>
    <t>Anzeige Messwerte: Schutzrelais-&gt;in Ordnung
Im VZS wurden die Spannungswandler vor den Stromwandlern verbaut.</t>
  </si>
  <si>
    <t>ABB
TPU 60.12</t>
  </si>
  <si>
    <t>30 A</t>
  </si>
  <si>
    <t>Zählerschrank, Parksteuerung (Janitza)</t>
  </si>
  <si>
    <t>5P30</t>
  </si>
  <si>
    <t>1,25 VA</t>
  </si>
  <si>
    <t>32,1 ms</t>
  </si>
  <si>
    <t>1000 A</t>
  </si>
  <si>
    <t>Pagram</t>
  </si>
  <si>
    <t>Eigenzeit ABB NS-Leistungsschalter: 32,1 ms (gemessen bei U&lt; L1L2L3)</t>
  </si>
  <si>
    <t>MBS
EVTS24M32-T</t>
  </si>
  <si>
    <t>Zählerschrank, Schutzrelais, da-dn</t>
  </si>
  <si>
    <t>Anzeige Messwerte: Schutzrelais und Janitza-&gt;in Ordnung
Im VZS wurden die Spannungswandler vor den Stromwandlern verbaut.</t>
  </si>
  <si>
    <t>MBS
ECTS12L-11-T</t>
  </si>
  <si>
    <t>100 A</t>
  </si>
  <si>
    <t>ELEQ</t>
  </si>
  <si>
    <t>5P60</t>
  </si>
  <si>
    <t>5 VA
2 VA</t>
  </si>
  <si>
    <t>42,5 ms</t>
  </si>
  <si>
    <t>30 kV</t>
  </si>
  <si>
    <t>Thomas Phillips</t>
  </si>
  <si>
    <t>Eigenzeit Siemens MS-Leistungsschalter: 42,5 ms (gemessen bei I&gt; L1L2L3)</t>
  </si>
  <si>
    <t>RITZ
EGSES 12D</t>
  </si>
  <si>
    <t>Zählerschrank, Schutzrelais</t>
  </si>
  <si>
    <t>MBS
ECTS24M-32-T</t>
  </si>
  <si>
    <t>20 A</t>
  </si>
  <si>
    <t>ZELISKO
1PRK-10</t>
  </si>
  <si>
    <t>10P20</t>
  </si>
  <si>
    <t>2VA</t>
  </si>
  <si>
    <t>ABB
TJCH4</t>
  </si>
  <si>
    <t>RITZ
GIS24d</t>
  </si>
  <si>
    <t>MBS
CTR200/60</t>
  </si>
  <si>
    <t>1FS5</t>
  </si>
  <si>
    <t>1 VA</t>
  </si>
  <si>
    <t>RITZ
EGSWS 12D</t>
  </si>
  <si>
    <t>MBS
ASK 51.4</t>
  </si>
  <si>
    <t>0,5FS5
5P20</t>
  </si>
  <si>
    <t>2,5 VA
2 VA</t>
  </si>
  <si>
    <t>ABB
TPU 40.11</t>
  </si>
  <si>
    <t>SIEMENS
4MC7033ZEK</t>
  </si>
  <si>
    <t>RITZ
EASS 24-01</t>
  </si>
  <si>
    <t xml:space="preserve">Betonbau BBD GmbH
Im Nördernfeld
31167 Bockenem </t>
  </si>
  <si>
    <t>AOM Spectrum Engineering GmbH
Kolonnenstraße 8 
10827 Berlin</t>
  </si>
  <si>
    <t>schmidt@aom-engineering.de</t>
  </si>
  <si>
    <t xml:space="preserve">clear sky energietechnik GmbH 
Frieda-Fromm-Reichmann-Str. 2-4
69126 Heidelberg </t>
  </si>
  <si>
    <t>Elektrotechnik Oelsnitz/E. GmbH
Hoffeldstrasse 3
D-09376 Oelsnitz/Erz.</t>
  </si>
  <si>
    <t>Wawrzyniak, Rico &lt;Rico.Wawrzyniak@eto.de&gt;</t>
  </si>
  <si>
    <t xml:space="preserve">Enagra GmbH &amp; Co. KG
Auf der Grub 1 
D – 54472 Monzelfeld </t>
  </si>
  <si>
    <t>ENcome Energy Performance Deutschland GmbH
Rennbahnstrasse 72-74 
60528 Frankfurt am Main</t>
  </si>
  <si>
    <t>ENERTEK Anlagenbau GmbH
Kurt-Dunkelmann-Str. 9
18057 Rostock</t>
  </si>
  <si>
    <t>michael.lange@enertek-anlagenbau.de</t>
  </si>
  <si>
    <t>ENERTEK Service GmbH
Kurt-Dunkelmann-Str. 9
18057 Rostock</t>
  </si>
  <si>
    <t>ricardo.feuerstein@enertek-service.de;</t>
  </si>
  <si>
    <t>halitsyn@faber-etec.de; m.lehn@faber-etec.de; moradi@faber-etec.de; firoozian@faber-etec.de; a.krenz@faber-etec.de; a.lella@faber-etec.de;</t>
  </si>
  <si>
    <t>Gels GmbH  Elektro &amp; Schaltanlagenbau
Feldkoppel 13
49779 Niederlangen</t>
  </si>
  <si>
    <t>GRÄPER Heiligengrabe 
GmbH &amp; Co. KG        
Am Buchweizenberg 11-12
16909 Heiligengrabe</t>
  </si>
  <si>
    <t>KZimpel@graeper.de;</t>
  </si>
  <si>
    <t>greentech services GmbH
Warburgstraße 50
20354 Hamburg</t>
  </si>
  <si>
    <t>p.stein@greentech.energy</t>
  </si>
  <si>
    <t xml:space="preserve">GRITEC GmbH
Im Nördernfeld
31167 Bockenem </t>
  </si>
  <si>
    <t>Jens.Mueller@gritec.com; Holger.Felgner@gritec.com; Sebastian.Kook@gritec.com</t>
  </si>
  <si>
    <t>Isoblock Schaltanlagen 
GmbH &amp; Co. KG
Anton-Storch-Straße 17
D-49080 Osnabrück</t>
  </si>
  <si>
    <t>sebastian.schleef@isoblock.de; Markus.Heimann@Isoblock.de; Stefanie.Riepe@Isoblock.de</t>
  </si>
  <si>
    <t>IVR Energieverteilungen GmbH      
Mainaer Strasse 2
99441 Ottstedt / Magdala</t>
  </si>
  <si>
    <t>heiner.pach@ivrenergy.de</t>
  </si>
  <si>
    <t>Marv-IT GmbH &amp; Co.KG
Herforder Straße 237
33609 Bielefeld</t>
  </si>
  <si>
    <t>m.fortkord@marv-it.de</t>
  </si>
  <si>
    <t>MaxSolar GmbH
Bahnhofplatz 2a 
83278 Traunstein</t>
  </si>
  <si>
    <t>Michael Godulla Services
Weidestrasse 35
22083 Hamburg</t>
  </si>
  <si>
    <t>NetzweltFabrik GmbH
Gewerbepark Maxhütte 22 
08056 Zwickau</t>
  </si>
  <si>
    <t>PV Solutions
ul. Lubańska 37
58-560 Jelenia Góra</t>
  </si>
  <si>
    <t>waldemar.zurawski@pv-solutions.pl; zdobylak@pv-solutions.pl</t>
  </si>
  <si>
    <t>Steve.Neudert@sgb-smit.group</t>
  </si>
  <si>
    <t xml:space="preserve">Schoenergie GmbH
Europa-Allee 16
54343 Föhren </t>
  </si>
  <si>
    <t>securenergy GmbH
Kurfürstendamm 40-41
10719 Berlin</t>
  </si>
  <si>
    <t>andi.rachman@securenergy.de; yannick.goerlitz@securenergy.de</t>
  </si>
  <si>
    <t>Smart Solar Verwaltung eG
Seebergweg 1
83730 Fischbachau</t>
  </si>
  <si>
    <t xml:space="preserve">SOL Energietechnik GmbH 
Roscherstr. 10 
30161 Hannover </t>
  </si>
  <si>
    <t>Solarpraxis Engineering GmbH
Alboinstraße 36-42
12103 Berlin</t>
  </si>
  <si>
    <t xml:space="preserve">SOLprime Power Systems GmbH
Philipp-Reis-Weg 6  
24148 Kiel  </t>
  </si>
  <si>
    <t>SOMIKON Technik GmbH &amp; Co. KG
Krummland 17 
24232 Schönkirchen</t>
  </si>
  <si>
    <t>d.schemenz@somikon.net;</t>
  </si>
  <si>
    <t>Sonnenexpert
Konrad-Zuse-Str. 1a
18184 Roggentin</t>
  </si>
  <si>
    <t>buechse@sonnenexpert.com; saoudi@sonnenexpert.com;</t>
  </si>
  <si>
    <t xml:space="preserve">Sprecher Automation Deutschland GmbH
Stotternheimer Straße 9a 
99086 Erfurt </t>
  </si>
  <si>
    <t>Heiko.LOHSE@sprecher-automation.com; Robert.NOERING@sprecher-automation.com; Sven.KNIETZSCH@sprecher-automation.com; Karsten.GRUMM@sprecher-automation.com</t>
  </si>
  <si>
    <t>SSR Elektrotechnik GmbH &amp; Co. KG
Anton-Bartscher-Str. 7
33154 Salzkotten</t>
  </si>
  <si>
    <t>vs@ssr-elektrotechnik.de; as@ssr-elektrotechnik.de</t>
  </si>
  <si>
    <t>Suncatcher Engineering GmbH
Lennéstraße 5
10785 Berlin</t>
  </si>
  <si>
    <t>SAHmoud@suncatcher.de</t>
  </si>
  <si>
    <t>SUNfarming GmbH
Zum Wasserwerk 12
D-15537 Erkner</t>
  </si>
  <si>
    <t>r.bieber@sunfarming.de; r.weigel@sunfarming.de; a.pospiech@sunfarming.de</t>
  </si>
  <si>
    <t>uesa GmbH
Gewerbepark-Nord 7
04938 Uebigau-Wahrenbrück</t>
  </si>
  <si>
    <t xml:space="preserve">Unternehmensgruppe Gräper
Am Buchweizenberg 11-12 
16909 Heiligengrabe </t>
  </si>
  <si>
    <t>Vrielmann GmbH
Heinrich-Focke-Straße 25
48531 Nordhorn</t>
  </si>
  <si>
    <t>WAGO GmbH &amp; Co. KG
Hansastraße 27
32423 Minden</t>
  </si>
  <si>
    <t>daniel.wiese@wago.com</t>
  </si>
  <si>
    <t>wibres Energietechnik GmbH
Mizarstraße 8
12529 Schönefeld</t>
  </si>
  <si>
    <t>rene.eggemeyer@wibres.de</t>
  </si>
  <si>
    <t>Aktuelles Jahr</t>
  </si>
  <si>
    <t>Aktueller Monat</t>
  </si>
  <si>
    <t>Sächsisch-Bayerische Starkstrom-Gerätebau GmbH (SBG)
Ohmstraße 1
08496 Neumark/Sachsen</t>
  </si>
  <si>
    <t>Bild</t>
  </si>
  <si>
    <t>so ein mist</t>
  </si>
  <si>
    <t>scheibenkle</t>
  </si>
  <si>
    <t>ach mann</t>
  </si>
  <si>
    <t>2026.5.03.05</t>
  </si>
  <si>
    <t>2026.5.07.05</t>
  </si>
  <si>
    <t>MRI/SEG</t>
  </si>
  <si>
    <t>7SJ82/Siemens</t>
  </si>
  <si>
    <t>7SJ85/Siemens</t>
  </si>
  <si>
    <t>Spalte1</t>
  </si>
  <si>
    <t>Spalte2</t>
  </si>
  <si>
    <t>Spalte3</t>
  </si>
  <si>
    <t>Spalte4</t>
  </si>
  <si>
    <t>Spalte5</t>
  </si>
  <si>
    <t>Spalte6</t>
  </si>
  <si>
    <t>Spalte7</t>
  </si>
  <si>
    <t>Spalte8</t>
  </si>
  <si>
    <t>Spalte9</t>
  </si>
  <si>
    <t>Spalte10</t>
  </si>
  <si>
    <t>Spalte11</t>
  </si>
  <si>
    <t>Spalte12</t>
  </si>
  <si>
    <t>Spalte13</t>
  </si>
  <si>
    <t>Spalte14</t>
  </si>
  <si>
    <t>Spalte15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</si>
</sst>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€&quot;_-;\-* #,##0.00\ &quot;€&quot;_-;_-* &quot;-&quot;??\ &quot;€&quot;_-;_-@_-"/>
    <numFmt numFmtId="164" formatCode="0.0"/>
    <numFmt numFmtId="165" formatCode="0.0000"/>
    <numFmt numFmtId="166" formatCode="0.000"/>
    <numFmt numFmtId="167" formatCode="mmm\ yyyy"/>
    <numFmt numFmtId="168" formatCode="mmmm\ yyyy"/>
    <numFmt numFmtId="169" formatCode="[$-407]mmmm\ yy;@"/>
    <numFmt numFmtId="170" formatCode="0.000000"/>
    <numFmt numFmtId="171" formatCode="#,##0.000"/>
  </numFmts>
  <fonts count="3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b/>
      <sz val="11"/>
      <color rgb="FF303777"/>
      <name val="Brutal Type"/>
    </font>
    <font>
      <sz val="9"/>
      <color theme="1"/>
      <name val="Brutal Type"/>
    </font>
    <font>
      <sz val="9"/>
      <name val="Brutal Type"/>
    </font>
    <font>
      <sz val="7"/>
      <name val="Brutal Type"/>
    </font>
    <font>
      <sz val="8"/>
      <name val="Brutal Type"/>
    </font>
    <font>
      <b/>
      <sz val="14"/>
      <color rgb="FF303777"/>
      <name val="Brutal Type"/>
    </font>
    <font>
      <sz val="8"/>
      <color theme="1"/>
      <name val="Brutal Type"/>
    </font>
    <font>
      <b/>
      <sz val="10"/>
      <color rgb="FF303777"/>
      <name val="Brutal Type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2"/>
      <name val="Brutal Type"/>
    </font>
    <font>
      <sz val="10"/>
      <name val="Brutal Type"/>
    </font>
    <font>
      <sz val="12"/>
      <color theme="1"/>
      <name val="Brutal Type"/>
    </font>
    <font>
      <b/>
      <sz val="12"/>
      <color rgb="FF303777"/>
      <name val="Brutal Type"/>
    </font>
    <font>
      <sz val="11"/>
      <color rgb="FFFF0000"/>
      <name val="Calibri"/>
      <family val="2"/>
      <scheme val="minor"/>
    </font>
    <font>
      <sz val="12"/>
      <color rgb="FFFF0000"/>
      <name val="Brutal Type"/>
    </font>
    <font>
      <sz val="10"/>
      <color theme="1"/>
      <name val="Brutal Type"/>
    </font>
    <font>
      <sz val="8"/>
      <color rgb="FF000000"/>
      <name val="Segoe UI"/>
      <family val="2"/>
    </font>
    <font>
      <sz val="10"/>
      <color rgb="FFFF0000"/>
      <name val="Brutal Type"/>
    </font>
    <font>
      <sz val="10"/>
      <color rgb="FF0070C0"/>
      <name val="Brutal Type"/>
    </font>
    <font>
      <sz val="9"/>
      <name val="Arial"/>
      <family val="2"/>
    </font>
    <font>
      <sz val="9"/>
      <color rgb="FFFF0000"/>
      <name val="Brutal Type"/>
    </font>
    <font>
      <sz val="12"/>
      <color theme="0"/>
      <name val="Brutal Type"/>
    </font>
    <font>
      <b/>
      <sz val="9"/>
      <color rgb="FF303777"/>
      <name val="Brutal Type"/>
    </font>
    <font>
      <b/>
      <sz val="9"/>
      <name val="Brutal Type"/>
    </font>
    <font>
      <u/>
      <sz val="8"/>
      <color theme="4"/>
      <name val="Brutal Type"/>
    </font>
    <font>
      <sz val="10"/>
      <color rgb="FF000000"/>
      <name val="Arial"/>
      <family val="2"/>
    </font>
    <font>
      <sz val="12"/>
      <name val="Aptos"/>
      <family val="2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BFB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/>
      <top style="dashed">
        <color auto="1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thin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auto="1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auto="1"/>
      </top>
      <bottom/>
      <diagonal/>
    </border>
    <border>
      <left/>
      <right/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0" fontId="1" fillId="0" borderId="0"/>
    <xf numFmtId="44" fontId="1" fillId="0" borderId="0"/>
    <xf numFmtId="44" fontId="1" fillId="0" borderId="0"/>
  </cellStyleXfs>
  <cellXfs count="1058">
    <xf numFmtId="0" fontId="0" fillId="0" borderId="0" xfId="0"/>
    <xf numFmtId="2" fontId="4" fillId="0" borderId="0" xfId="0" applyNumberFormat="1" applyFont="1" applyAlignment="1">
      <alignment horizontal="center"/>
    </xf>
    <xf numFmtId="0" fontId="5" fillId="0" borderId="0" xfId="0" applyFont="1"/>
    <xf numFmtId="0" fontId="5" fillId="4" borderId="1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5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left"/>
    </xf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1" applyFont="1"/>
    <xf numFmtId="0" fontId="4" fillId="4" borderId="12" xfId="0" applyFont="1" applyFill="1" applyBorder="1" applyAlignment="1">
      <alignment horizontal="center" vertical="center"/>
    </xf>
    <xf numFmtId="49" fontId="4" fillId="0" borderId="6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0" borderId="1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wrapText="1"/>
    </xf>
    <xf numFmtId="0" fontId="4" fillId="0" borderId="11" xfId="0" applyFont="1" applyBorder="1"/>
    <xf numFmtId="49" fontId="4" fillId="0" borderId="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vertical="center"/>
    </xf>
    <xf numFmtId="0" fontId="4" fillId="0" borderId="6" xfId="0" applyFont="1" applyBorder="1" applyAlignment="1">
      <alignment wrapText="1"/>
    </xf>
    <xf numFmtId="0" fontId="5" fillId="0" borderId="11" xfId="0" applyFont="1" applyBorder="1" applyAlignment="1">
      <alignment wrapText="1"/>
    </xf>
    <xf numFmtId="0" fontId="5" fillId="0" borderId="10" xfId="0" applyFont="1" applyBorder="1" applyAlignment="1">
      <alignment wrapText="1"/>
    </xf>
    <xf numFmtId="0" fontId="4" fillId="0" borderId="8" xfId="0" applyFont="1" applyBorder="1" applyAlignment="1">
      <alignment horizontal="left" vertical="center" wrapText="1"/>
    </xf>
    <xf numFmtId="0" fontId="4" fillId="0" borderId="8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2" xfId="0" applyFont="1" applyBorder="1"/>
    <xf numFmtId="0" fontId="4" fillId="0" borderId="5" xfId="0" applyFont="1" applyBorder="1" applyAlignment="1">
      <alignment wrapText="1"/>
    </xf>
    <xf numFmtId="0" fontId="4" fillId="0" borderId="4" xfId="0" applyFont="1" applyBorder="1" applyAlignment="1">
      <alignment horizontal="center"/>
    </xf>
    <xf numFmtId="164" fontId="4" fillId="0" borderId="24" xfId="0" applyNumberFormat="1" applyFont="1" applyBorder="1" applyAlignment="1">
      <alignment horizontal="center" wrapText="1"/>
    </xf>
    <xf numFmtId="49" fontId="4" fillId="0" borderId="4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1" fillId="0" borderId="0" xfId="0" applyFont="1"/>
    <xf numFmtId="0" fontId="5" fillId="0" borderId="8" xfId="0" applyFont="1" applyBorder="1" applyAlignment="1">
      <alignment horizontal="left" vertical="center" wrapText="1"/>
    </xf>
    <xf numFmtId="3" fontId="0" fillId="6" borderId="0" xfId="0" applyNumberFormat="1" applyFill="1"/>
    <xf numFmtId="0" fontId="1" fillId="0" borderId="0" xfId="0" applyFont="1" applyAlignment="1">
      <alignment vertical="center" textRotation="90"/>
    </xf>
    <xf numFmtId="0" fontId="0" fillId="0" borderId="0" xfId="0" applyAlignment="1">
      <alignment vertical="center" textRotation="90"/>
    </xf>
    <xf numFmtId="164" fontId="4" fillId="0" borderId="1" xfId="0" applyNumberFormat="1" applyFont="1" applyBorder="1" applyAlignment="1">
      <alignment horizontal="center" vertical="center" wrapText="1"/>
    </xf>
    <xf numFmtId="0" fontId="0" fillId="0" borderId="32" xfId="0" applyBorder="1"/>
    <xf numFmtId="0" fontId="12" fillId="0" borderId="32" xfId="0" applyFont="1" applyBorder="1"/>
    <xf numFmtId="0" fontId="0" fillId="0" borderId="30" xfId="0" applyBorder="1"/>
    <xf numFmtId="0" fontId="12" fillId="0" borderId="30" xfId="0" applyFont="1" applyBorder="1"/>
    <xf numFmtId="0" fontId="0" fillId="6" borderId="0" xfId="0" applyFill="1"/>
    <xf numFmtId="0" fontId="0" fillId="0" borderId="0" xfId="0" applyAlignment="1">
      <alignment horizontal="left"/>
    </xf>
    <xf numFmtId="0" fontId="1" fillId="2" borderId="3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4" xfId="0" applyFont="1" applyFill="1" applyBorder="1" applyAlignment="1">
      <alignment horizontal="center" vertical="center"/>
    </xf>
    <xf numFmtId="0" fontId="0" fillId="2" borderId="0" xfId="0" applyFill="1"/>
    <xf numFmtId="0" fontId="1" fillId="2" borderId="0" xfId="0" applyFont="1" applyFill="1" applyAlignment="1">
      <alignment horizontal="left" vertical="center"/>
    </xf>
    <xf numFmtId="0" fontId="11" fillId="7" borderId="33" xfId="0" applyFont="1" applyFill="1" applyBorder="1"/>
    <xf numFmtId="0" fontId="11" fillId="0" borderId="33" xfId="0" applyFont="1" applyBorder="1"/>
    <xf numFmtId="0" fontId="1" fillId="0" borderId="0" xfId="0" applyFont="1" applyAlignment="1">
      <alignment wrapText="1"/>
    </xf>
    <xf numFmtId="0" fontId="14" fillId="0" borderId="0" xfId="0" applyFont="1"/>
    <xf numFmtId="0" fontId="0" fillId="8" borderId="0" xfId="0" applyFill="1"/>
    <xf numFmtId="0" fontId="4" fillId="0" borderId="23" xfId="0" applyFont="1" applyBorder="1"/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5" fillId="0" borderId="0" xfId="0" applyFont="1"/>
    <xf numFmtId="0" fontId="16" fillId="0" borderId="0" xfId="0" applyFont="1" applyAlignment="1">
      <alignment vertical="center"/>
    </xf>
    <xf numFmtId="0" fontId="15" fillId="0" borderId="0" xfId="0" applyFont="1" applyAlignment="1">
      <alignment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5" fillId="0" borderId="0" xfId="3" applyFont="1"/>
    <xf numFmtId="0" fontId="15" fillId="0" borderId="0" xfId="0" applyFont="1" applyAlignment="1">
      <alignment vertical="center"/>
    </xf>
    <xf numFmtId="0" fontId="15" fillId="0" borderId="0" xfId="0" applyFont="1" applyAlignment="1">
      <alignment vertical="top" wrapText="1"/>
    </xf>
    <xf numFmtId="0" fontId="13" fillId="0" borderId="0" xfId="3" applyFont="1" applyAlignment="1">
      <alignment vertical="top" wrapText="1"/>
    </xf>
    <xf numFmtId="0" fontId="15" fillId="0" borderId="0" xfId="3" applyFont="1" applyAlignment="1">
      <alignment vertical="center" wrapText="1"/>
    </xf>
    <xf numFmtId="0" fontId="15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5" fillId="0" borderId="0" xfId="3" applyFont="1" applyAlignment="1">
      <alignment wrapText="1"/>
    </xf>
    <xf numFmtId="0" fontId="4" fillId="3" borderId="2" xfId="0" applyFont="1" applyFill="1" applyBorder="1" applyAlignment="1">
      <alignment horizontal="left"/>
    </xf>
    <xf numFmtId="0" fontId="4" fillId="3" borderId="6" xfId="0" applyFont="1" applyFill="1" applyBorder="1" applyAlignment="1">
      <alignment horizontal="left"/>
    </xf>
    <xf numFmtId="0" fontId="4" fillId="3" borderId="34" xfId="0" applyFont="1" applyFill="1" applyBorder="1" applyAlignment="1">
      <alignment horizontal="left" vertical="top"/>
    </xf>
    <xf numFmtId="0" fontId="4" fillId="3" borderId="6" xfId="0" applyFont="1" applyFill="1" applyBorder="1" applyAlignment="1">
      <alignment vertical="center"/>
    </xf>
    <xf numFmtId="0" fontId="5" fillId="3" borderId="6" xfId="1" applyFont="1" applyFill="1" applyBorder="1"/>
    <xf numFmtId="0" fontId="4" fillId="0" borderId="9" xfId="0" applyFont="1" applyBorder="1" applyAlignment="1">
      <alignment horizontal="left" vertical="center" wrapText="1"/>
    </xf>
    <xf numFmtId="2" fontId="5" fillId="3" borderId="23" xfId="0" applyNumberFormat="1" applyFont="1" applyFill="1" applyBorder="1" applyAlignment="1">
      <alignment horizontal="center" vertical="center" wrapText="1"/>
    </xf>
    <xf numFmtId="0" fontId="5" fillId="0" borderId="9" xfId="0" applyFont="1" applyBorder="1" applyAlignment="1">
      <alignment horizontal="left" vertical="center" wrapText="1"/>
    </xf>
    <xf numFmtId="0" fontId="4" fillId="0" borderId="9" xfId="0" applyFont="1" applyBorder="1" applyAlignment="1">
      <alignment wrapText="1"/>
    </xf>
    <xf numFmtId="2" fontId="4" fillId="0" borderId="23" xfId="0" applyNumberFormat="1" applyFont="1" applyBorder="1" applyAlignment="1">
      <alignment horizontal="center" vertical="center"/>
    </xf>
    <xf numFmtId="49" fontId="4" fillId="0" borderId="23" xfId="0" applyNumberFormat="1" applyFont="1" applyBorder="1" applyAlignment="1">
      <alignment horizontal="center" vertical="center"/>
    </xf>
    <xf numFmtId="0" fontId="5" fillId="3" borderId="27" xfId="0" applyFont="1" applyFill="1" applyBorder="1" applyAlignment="1">
      <alignment vertical="center"/>
    </xf>
    <xf numFmtId="0" fontId="4" fillId="0" borderId="3" xfId="3" applyFont="1" applyBorder="1" applyAlignment="1">
      <alignment horizontal="left" vertical="center" wrapText="1"/>
    </xf>
    <xf numFmtId="0" fontId="13" fillId="0" borderId="0" xfId="0" applyFont="1" applyAlignment="1">
      <alignment horizontal="left" vertical="top"/>
    </xf>
    <xf numFmtId="0" fontId="13" fillId="0" borderId="12" xfId="0" applyFont="1" applyBorder="1" applyAlignment="1">
      <alignment vertical="center"/>
    </xf>
    <xf numFmtId="0" fontId="13" fillId="0" borderId="12" xfId="0" applyFont="1" applyBorder="1"/>
    <xf numFmtId="0" fontId="15" fillId="0" borderId="12" xfId="0" applyFont="1" applyBorder="1" applyAlignment="1">
      <alignment vertical="center"/>
    </xf>
    <xf numFmtId="0" fontId="15" fillId="0" borderId="12" xfId="0" applyFont="1" applyBorder="1"/>
    <xf numFmtId="0" fontId="13" fillId="0" borderId="20" xfId="0" applyFont="1" applyBorder="1" applyAlignment="1">
      <alignment horizontal="left" vertical="top"/>
    </xf>
    <xf numFmtId="0" fontId="15" fillId="0" borderId="17" xfId="0" applyFont="1" applyBorder="1" applyAlignment="1">
      <alignment horizontal="left" vertical="center"/>
    </xf>
    <xf numFmtId="0" fontId="15" fillId="0" borderId="17" xfId="0" applyFont="1" applyBorder="1" applyAlignment="1">
      <alignment vertical="center"/>
    </xf>
    <xf numFmtId="0" fontId="13" fillId="0" borderId="17" xfId="0" applyFont="1" applyBorder="1"/>
    <xf numFmtId="0" fontId="13" fillId="3" borderId="15" xfId="0" applyFont="1" applyFill="1" applyBorder="1"/>
    <xf numFmtId="0" fontId="13" fillId="3" borderId="8" xfId="0" applyFont="1" applyFill="1" applyBorder="1"/>
    <xf numFmtId="0" fontId="13" fillId="0" borderId="15" xfId="0" applyFont="1" applyBorder="1"/>
    <xf numFmtId="0" fontId="13" fillId="0" borderId="8" xfId="0" applyFont="1" applyBorder="1"/>
    <xf numFmtId="0" fontId="13" fillId="0" borderId="15" xfId="1" applyFont="1" applyBorder="1"/>
    <xf numFmtId="0" fontId="13" fillId="0" borderId="8" xfId="1" applyFont="1" applyBorder="1"/>
    <xf numFmtId="0" fontId="15" fillId="0" borderId="15" xfId="0" applyFont="1" applyBorder="1"/>
    <xf numFmtId="0" fontId="15" fillId="0" borderId="8" xfId="0" applyFont="1" applyBorder="1"/>
    <xf numFmtId="0" fontId="4" fillId="3" borderId="0" xfId="0" applyFont="1" applyFill="1" applyAlignment="1">
      <alignment vertical="center"/>
    </xf>
    <xf numFmtId="0" fontId="15" fillId="3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1" fillId="0" borderId="0" xfId="0" applyFont="1" applyAlignment="1">
      <alignment horizontal="left"/>
    </xf>
    <xf numFmtId="0" fontId="4" fillId="0" borderId="42" xfId="0" applyFont="1" applyBorder="1" applyAlignment="1">
      <alignment horizontal="left" vertical="center" wrapText="1"/>
    </xf>
    <xf numFmtId="0" fontId="4" fillId="0" borderId="42" xfId="0" applyFont="1" applyBorder="1"/>
    <xf numFmtId="0" fontId="4" fillId="0" borderId="4" xfId="3" applyFont="1" applyBorder="1" applyAlignment="1">
      <alignment horizontal="left" vertical="center" wrapText="1"/>
    </xf>
    <xf numFmtId="167" fontId="13" fillId="0" borderId="0" xfId="0" applyNumberFormat="1" applyFont="1"/>
    <xf numFmtId="0" fontId="1" fillId="6" borderId="12" xfId="0" applyFont="1" applyFill="1" applyBorder="1" applyAlignment="1">
      <alignment wrapText="1"/>
    </xf>
    <xf numFmtId="0" fontId="1" fillId="6" borderId="12" xfId="0" applyFont="1" applyFill="1" applyBorder="1"/>
    <xf numFmtId="0" fontId="1" fillId="9" borderId="12" xfId="0" applyFont="1" applyFill="1" applyBorder="1"/>
    <xf numFmtId="0" fontId="1" fillId="4" borderId="12" xfId="0" applyFont="1" applyFill="1" applyBorder="1"/>
    <xf numFmtId="0" fontId="1" fillId="9" borderId="12" xfId="0" applyFont="1" applyFill="1" applyBorder="1" applyAlignment="1">
      <alignment wrapText="1"/>
    </xf>
    <xf numFmtId="0" fontId="0" fillId="9" borderId="12" xfId="0" applyFill="1" applyBorder="1"/>
    <xf numFmtId="0" fontId="1" fillId="4" borderId="12" xfId="0" applyFont="1" applyFill="1" applyBorder="1" applyAlignment="1">
      <alignment wrapText="1"/>
    </xf>
    <xf numFmtId="0" fontId="0" fillId="4" borderId="12" xfId="0" applyFill="1" applyBorder="1"/>
    <xf numFmtId="0" fontId="13" fillId="3" borderId="17" xfId="0" applyFont="1" applyFill="1" applyBorder="1" applyAlignment="1">
      <alignment vertical="center"/>
    </xf>
    <xf numFmtId="0" fontId="13" fillId="3" borderId="0" xfId="0" applyFont="1" applyFill="1" applyAlignment="1">
      <alignment vertical="center"/>
    </xf>
    <xf numFmtId="0" fontId="13" fillId="0" borderId="17" xfId="0" applyFont="1" applyBorder="1" applyAlignment="1">
      <alignment horizontal="left" vertical="center"/>
    </xf>
    <xf numFmtId="0" fontId="15" fillId="3" borderId="20" xfId="0" applyFont="1" applyFill="1" applyBorder="1" applyAlignment="1">
      <alignment vertical="center"/>
    </xf>
    <xf numFmtId="0" fontId="13" fillId="0" borderId="20" xfId="0" applyFont="1" applyBorder="1" applyAlignment="1">
      <alignment horizontal="left" vertical="top" wrapText="1"/>
    </xf>
    <xf numFmtId="0" fontId="15" fillId="3" borderId="17" xfId="0" applyFont="1" applyFill="1" applyBorder="1" applyAlignment="1">
      <alignment vertical="center"/>
    </xf>
    <xf numFmtId="0" fontId="13" fillId="3" borderId="17" xfId="0" applyFont="1" applyFill="1" applyBorder="1"/>
    <xf numFmtId="0" fontId="0" fillId="0" borderId="0" xfId="0" applyAlignment="1">
      <alignment wrapText="1"/>
    </xf>
    <xf numFmtId="0" fontId="17" fillId="10" borderId="0" xfId="0" applyFont="1" applyFill="1"/>
    <xf numFmtId="49" fontId="0" fillId="0" borderId="0" xfId="0" applyNumberFormat="1"/>
    <xf numFmtId="0" fontId="17" fillId="0" borderId="0" xfId="0" applyFont="1"/>
    <xf numFmtId="0" fontId="0" fillId="4" borderId="12" xfId="0" applyFill="1" applyBorder="1" applyAlignment="1">
      <alignment wrapText="1"/>
    </xf>
    <xf numFmtId="0" fontId="1" fillId="4" borderId="21" xfId="0" applyFont="1" applyFill="1" applyBorder="1" applyAlignment="1">
      <alignment wrapText="1"/>
    </xf>
    <xf numFmtId="0" fontId="0" fillId="4" borderId="21" xfId="0" applyFill="1" applyBorder="1"/>
    <xf numFmtId="0" fontId="0" fillId="4" borderId="6" xfId="0" applyFill="1" applyBorder="1"/>
    <xf numFmtId="0" fontId="11" fillId="0" borderId="33" xfId="0" applyFont="1" applyBorder="1" applyAlignment="1">
      <alignment horizontal="left" vertical="center"/>
    </xf>
    <xf numFmtId="0" fontId="13" fillId="3" borderId="26" xfId="0" applyFont="1" applyFill="1" applyBorder="1" applyAlignment="1">
      <alignment vertical="center"/>
    </xf>
    <xf numFmtId="0" fontId="13" fillId="3" borderId="30" xfId="0" applyFont="1" applyFill="1" applyBorder="1" applyAlignment="1">
      <alignment vertical="center"/>
    </xf>
    <xf numFmtId="0" fontId="13" fillId="0" borderId="49" xfId="0" applyFont="1" applyBorder="1"/>
    <xf numFmtId="0" fontId="15" fillId="3" borderId="49" xfId="0" applyFont="1" applyFill="1" applyBorder="1" applyAlignment="1">
      <alignment vertical="center"/>
    </xf>
    <xf numFmtId="0" fontId="13" fillId="0" borderId="0" xfId="3" applyFont="1" applyAlignment="1">
      <alignment vertical="center" wrapText="1"/>
    </xf>
    <xf numFmtId="0" fontId="5" fillId="3" borderId="29" xfId="0" applyFont="1" applyFill="1" applyBorder="1" applyAlignment="1">
      <alignment horizontal="center" vertical="center"/>
    </xf>
    <xf numFmtId="0" fontId="4" fillId="0" borderId="10" xfId="3" applyFont="1" applyBorder="1" applyAlignment="1">
      <alignment horizontal="center" vertical="center" wrapText="1"/>
    </xf>
    <xf numFmtId="0" fontId="4" fillId="0" borderId="21" xfId="3" applyFont="1" applyBorder="1" applyAlignment="1">
      <alignment horizontal="center" vertical="center" wrapText="1"/>
    </xf>
    <xf numFmtId="0" fontId="4" fillId="0" borderId="11" xfId="3" applyFont="1" applyBorder="1" applyAlignment="1">
      <alignment horizontal="center" vertical="center" wrapText="1"/>
    </xf>
    <xf numFmtId="0" fontId="4" fillId="0" borderId="7" xfId="3" applyFont="1" applyBorder="1"/>
    <xf numFmtId="0" fontId="13" fillId="3" borderId="47" xfId="0" applyFont="1" applyFill="1" applyBorder="1" applyAlignment="1">
      <alignment vertical="center"/>
    </xf>
    <xf numFmtId="0" fontId="13" fillId="3" borderId="20" xfId="0" applyFont="1" applyFill="1" applyBorder="1" applyAlignment="1">
      <alignment vertical="center"/>
    </xf>
    <xf numFmtId="0" fontId="13" fillId="3" borderId="39" xfId="0" applyFont="1" applyFill="1" applyBorder="1" applyAlignment="1">
      <alignment vertical="center"/>
    </xf>
    <xf numFmtId="0" fontId="19" fillId="0" borderId="8" xfId="0" applyFont="1" applyBorder="1"/>
    <xf numFmtId="0" fontId="19" fillId="0" borderId="9" xfId="0" applyFont="1" applyBorder="1"/>
    <xf numFmtId="0" fontId="19" fillId="0" borderId="23" xfId="0" applyFont="1" applyBorder="1"/>
    <xf numFmtId="0" fontId="13" fillId="13" borderId="16" xfId="0" applyFont="1" applyFill="1" applyBorder="1" applyAlignment="1">
      <alignment horizontal="left" vertical="top"/>
    </xf>
    <xf numFmtId="14" fontId="13" fillId="13" borderId="16" xfId="0" applyNumberFormat="1" applyFont="1" applyFill="1" applyBorder="1" applyAlignment="1">
      <alignment horizontal="left" vertical="top"/>
    </xf>
    <xf numFmtId="168" fontId="13" fillId="13" borderId="16" xfId="0" applyNumberFormat="1" applyFont="1" applyFill="1" applyBorder="1" applyAlignment="1">
      <alignment horizontal="left" vertical="top"/>
    </xf>
    <xf numFmtId="0" fontId="15" fillId="13" borderId="16" xfId="0" applyFont="1" applyFill="1" applyBorder="1" applyAlignment="1">
      <alignment horizontal="left" vertical="top"/>
    </xf>
    <xf numFmtId="0" fontId="13" fillId="13" borderId="16" xfId="1" applyFont="1" applyFill="1" applyBorder="1" applyAlignment="1">
      <alignment horizontal="left" vertical="top"/>
    </xf>
    <xf numFmtId="49" fontId="13" fillId="12" borderId="16" xfId="0" applyNumberFormat="1" applyFont="1" applyFill="1" applyBorder="1" applyAlignment="1">
      <alignment horizontal="left" vertical="top" wrapText="1"/>
    </xf>
    <xf numFmtId="0" fontId="15" fillId="0" borderId="49" xfId="0" applyFont="1" applyBorder="1"/>
    <xf numFmtId="49" fontId="19" fillId="0" borderId="8" xfId="0" applyNumberFormat="1" applyFont="1" applyBorder="1" applyAlignment="1">
      <alignment horizontal="right"/>
    </xf>
    <xf numFmtId="0" fontId="19" fillId="0" borderId="1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4" fontId="19" fillId="0" borderId="8" xfId="0" applyNumberFormat="1" applyFont="1" applyBorder="1"/>
    <xf numFmtId="0" fontId="19" fillId="0" borderId="4" xfId="0" applyFont="1" applyBorder="1"/>
    <xf numFmtId="0" fontId="19" fillId="0" borderId="6" xfId="0" applyFont="1" applyBorder="1"/>
    <xf numFmtId="0" fontId="19" fillId="0" borderId="24" xfId="0" applyFont="1" applyBorder="1"/>
    <xf numFmtId="49" fontId="19" fillId="0" borderId="0" xfId="0" applyNumberFormat="1" applyFont="1"/>
    <xf numFmtId="49" fontId="13" fillId="13" borderId="0" xfId="0" applyNumberFormat="1" applyFont="1" applyFill="1" applyAlignment="1">
      <alignment horizontal="left" vertical="top"/>
    </xf>
    <xf numFmtId="0" fontId="15" fillId="0" borderId="20" xfId="0" applyFont="1" applyBorder="1" applyAlignment="1">
      <alignment vertical="center"/>
    </xf>
    <xf numFmtId="0" fontId="15" fillId="13" borderId="20" xfId="0" applyFont="1" applyFill="1" applyBorder="1" applyAlignment="1">
      <alignment vertical="center"/>
    </xf>
    <xf numFmtId="0" fontId="15" fillId="13" borderId="50" xfId="0" applyFont="1" applyFill="1" applyBorder="1" applyAlignment="1">
      <alignment vertical="center"/>
    </xf>
    <xf numFmtId="0" fontId="19" fillId="4" borderId="9" xfId="0" applyFont="1" applyFill="1" applyBorder="1"/>
    <xf numFmtId="0" fontId="19" fillId="4" borderId="4" xfId="0" applyFont="1" applyFill="1" applyBorder="1"/>
    <xf numFmtId="0" fontId="19" fillId="4" borderId="10" xfId="0" applyFont="1" applyFill="1" applyBorder="1"/>
    <xf numFmtId="0" fontId="19" fillId="4" borderId="23" xfId="0" applyFont="1" applyFill="1" applyBorder="1"/>
    <xf numFmtId="0" fontId="19" fillId="4" borderId="21" xfId="0" applyFont="1" applyFill="1" applyBorder="1"/>
    <xf numFmtId="0" fontId="19" fillId="4" borderId="24" xfId="0" applyFont="1" applyFill="1" applyBorder="1"/>
    <xf numFmtId="0" fontId="19" fillId="4" borderId="11" xfId="0" applyFont="1" applyFill="1" applyBorder="1"/>
    <xf numFmtId="0" fontId="4" fillId="0" borderId="26" xfId="0" applyFont="1" applyBorder="1" applyAlignment="1">
      <alignment vertical="center" wrapText="1"/>
    </xf>
    <xf numFmtId="14" fontId="19" fillId="0" borderId="9" xfId="0" applyNumberFormat="1" applyFont="1" applyBorder="1"/>
    <xf numFmtId="0" fontId="19" fillId="4" borderId="8" xfId="0" applyFont="1" applyFill="1" applyBorder="1"/>
    <xf numFmtId="0" fontId="19" fillId="11" borderId="17" xfId="0" applyFont="1" applyFill="1" applyBorder="1" applyAlignment="1">
      <alignment horizontal="left" vertical="center"/>
    </xf>
    <xf numFmtId="49" fontId="19" fillId="9" borderId="17" xfId="0" applyNumberFormat="1" applyFont="1" applyFill="1" applyBorder="1" applyAlignment="1">
      <alignment horizontal="left" vertical="center"/>
    </xf>
    <xf numFmtId="0" fontId="19" fillId="9" borderId="17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3" borderId="0" xfId="1" applyFont="1" applyFill="1"/>
    <xf numFmtId="0" fontId="4" fillId="0" borderId="8" xfId="3" applyFont="1" applyBorder="1"/>
    <xf numFmtId="0" fontId="4" fillId="0" borderId="3" xfId="3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top" wrapText="1"/>
    </xf>
    <xf numFmtId="0" fontId="4" fillId="0" borderId="3" xfId="0" applyFont="1" applyBorder="1"/>
    <xf numFmtId="0" fontId="13" fillId="0" borderId="3" xfId="0" applyFont="1" applyBorder="1"/>
    <xf numFmtId="0" fontId="13" fillId="0" borderId="1" xfId="0" applyFont="1" applyBorder="1"/>
    <xf numFmtId="0" fontId="4" fillId="0" borderId="8" xfId="1" applyFont="1" applyBorder="1" applyAlignment="1">
      <alignment horizontal="center" vertical="center" wrapText="1"/>
    </xf>
    <xf numFmtId="0" fontId="19" fillId="0" borderId="15" xfId="0" applyFont="1" applyBorder="1" applyAlignment="1">
      <alignment vertical="center"/>
    </xf>
    <xf numFmtId="0" fontId="22" fillId="4" borderId="23" xfId="0" applyFont="1" applyFill="1" applyBorder="1"/>
    <xf numFmtId="0" fontId="18" fillId="0" borderId="0" xfId="1" applyFont="1" applyAlignment="1">
      <alignment vertical="center"/>
    </xf>
    <xf numFmtId="0" fontId="19" fillId="14" borderId="57" xfId="0" applyFont="1" applyFill="1" applyBorder="1" applyAlignment="1">
      <alignment vertical="center"/>
    </xf>
    <xf numFmtId="0" fontId="19" fillId="14" borderId="19" xfId="0" applyFont="1" applyFill="1" applyBorder="1" applyAlignment="1">
      <alignment vertical="center"/>
    </xf>
    <xf numFmtId="0" fontId="19" fillId="14" borderId="17" xfId="0" applyFont="1" applyFill="1" applyBorder="1" applyAlignment="1">
      <alignment vertical="center"/>
    </xf>
    <xf numFmtId="0" fontId="19" fillId="14" borderId="51" xfId="0" applyFont="1" applyFill="1" applyBorder="1" applyAlignment="1">
      <alignment vertical="center"/>
    </xf>
    <xf numFmtId="0" fontId="4" fillId="0" borderId="3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15" fillId="0" borderId="10" xfId="0" applyFont="1" applyBorder="1"/>
    <xf numFmtId="0" fontId="15" fillId="0" borderId="11" xfId="0" applyFont="1" applyBorder="1"/>
    <xf numFmtId="0" fontId="4" fillId="0" borderId="5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15" fillId="13" borderId="49" xfId="0" applyFont="1" applyFill="1" applyBorder="1" applyAlignment="1">
      <alignment vertical="center"/>
    </xf>
    <xf numFmtId="0" fontId="13" fillId="15" borderId="17" xfId="0" applyFont="1" applyFill="1" applyBorder="1"/>
    <xf numFmtId="0" fontId="15" fillId="15" borderId="0" xfId="0" applyFont="1" applyFill="1" applyAlignment="1">
      <alignment vertical="center"/>
    </xf>
    <xf numFmtId="0" fontId="15" fillId="15" borderId="20" xfId="0" applyFont="1" applyFill="1" applyBorder="1" applyAlignment="1">
      <alignment vertical="center"/>
    </xf>
    <xf numFmtId="0" fontId="13" fillId="4" borderId="20" xfId="0" applyFont="1" applyFill="1" applyBorder="1" applyAlignment="1">
      <alignment horizontal="left" vertical="top"/>
    </xf>
    <xf numFmtId="0" fontId="13" fillId="4" borderId="20" xfId="0" applyFont="1" applyFill="1" applyBorder="1" applyAlignment="1">
      <alignment horizontal="left" vertical="top" wrapText="1"/>
    </xf>
    <xf numFmtId="0" fontId="15" fillId="4" borderId="20" xfId="0" applyFont="1" applyFill="1" applyBorder="1" applyAlignment="1">
      <alignment horizontal="left" vertical="top" wrapText="1"/>
    </xf>
    <xf numFmtId="0" fontId="15" fillId="4" borderId="20" xfId="0" applyFont="1" applyFill="1" applyBorder="1" applyAlignment="1">
      <alignment horizontal="left" vertical="top"/>
    </xf>
    <xf numFmtId="0" fontId="15" fillId="4" borderId="20" xfId="3" applyFont="1" applyFill="1" applyBorder="1" applyAlignment="1">
      <alignment horizontal="left" vertical="top" wrapText="1"/>
    </xf>
    <xf numFmtId="0" fontId="21" fillId="4" borderId="9" xfId="0" applyFont="1" applyFill="1" applyBorder="1" applyAlignment="1">
      <alignment horizontal="center"/>
    </xf>
    <xf numFmtId="49" fontId="13" fillId="13" borderId="16" xfId="0" applyNumberFormat="1" applyFont="1" applyFill="1" applyBorder="1" applyAlignment="1">
      <alignment horizontal="left" vertical="top"/>
    </xf>
    <xf numFmtId="0" fontId="5" fillId="4" borderId="7" xfId="0" applyFont="1" applyFill="1" applyBorder="1" applyAlignment="1">
      <alignment vertical="center"/>
    </xf>
    <xf numFmtId="0" fontId="5" fillId="4" borderId="12" xfId="0" applyFont="1" applyFill="1" applyBorder="1" applyAlignment="1">
      <alignment vertical="center"/>
    </xf>
    <xf numFmtId="0" fontId="4" fillId="0" borderId="8" xfId="0" applyFont="1" applyBorder="1" applyAlignment="1">
      <alignment horizontal="center"/>
    </xf>
    <xf numFmtId="0" fontId="4" fillId="0" borderId="1" xfId="0" applyFont="1" applyBorder="1"/>
    <xf numFmtId="0" fontId="4" fillId="0" borderId="43" xfId="3" applyFont="1" applyBorder="1" applyAlignment="1">
      <alignment horizontal="center" vertical="center" wrapText="1"/>
    </xf>
    <xf numFmtId="0" fontId="4" fillId="0" borderId="8" xfId="3" applyFont="1" applyBorder="1" applyAlignment="1">
      <alignment horizontal="left" vertical="top" wrapText="1"/>
    </xf>
    <xf numFmtId="0" fontId="4" fillId="0" borderId="9" xfId="3" applyFont="1" applyBorder="1" applyAlignment="1">
      <alignment horizontal="left" vertical="top" wrapText="1"/>
    </xf>
    <xf numFmtId="0" fontId="4" fillId="0" borderId="9" xfId="3" applyFont="1" applyBorder="1"/>
    <xf numFmtId="0" fontId="4" fillId="0" borderId="7" xfId="3" applyFont="1" applyBorder="1" applyAlignment="1">
      <alignment vertical="center" wrapText="1"/>
    </xf>
    <xf numFmtId="0" fontId="4" fillId="0" borderId="8" xfId="3" applyFont="1" applyBorder="1" applyAlignment="1">
      <alignment vertical="center" wrapText="1"/>
    </xf>
    <xf numFmtId="49" fontId="4" fillId="0" borderId="6" xfId="0" applyNumberFormat="1" applyFont="1" applyBorder="1" applyAlignment="1">
      <alignment horizontal="center" wrapText="1"/>
    </xf>
    <xf numFmtId="0" fontId="5" fillId="0" borderId="0" xfId="0" applyFont="1" applyAlignment="1">
      <alignment horizontal="center" vertical="center"/>
    </xf>
    <xf numFmtId="0" fontId="4" fillId="0" borderId="43" xfId="3" applyFont="1" applyBorder="1" applyAlignment="1">
      <alignment horizontal="center" vertical="top" wrapText="1"/>
    </xf>
    <xf numFmtId="49" fontId="1" fillId="0" borderId="0" xfId="0" applyNumberFormat="1" applyFont="1"/>
    <xf numFmtId="164" fontId="0" fillId="0" borderId="0" xfId="0" applyNumberFormat="1"/>
    <xf numFmtId="49" fontId="0" fillId="0" borderId="3" xfId="0" applyNumberFormat="1" applyBorder="1"/>
    <xf numFmtId="0" fontId="13" fillId="12" borderId="16" xfId="0" applyFont="1" applyFill="1" applyBorder="1" applyAlignment="1">
      <alignment horizontal="left" vertical="top"/>
    </xf>
    <xf numFmtId="0" fontId="4" fillId="3" borderId="2" xfId="3" applyFont="1" applyFill="1" applyBorder="1" applyAlignment="1">
      <alignment horizontal="left"/>
    </xf>
    <xf numFmtId="0" fontId="4" fillId="3" borderId="0" xfId="3" applyFont="1" applyFill="1" applyAlignment="1">
      <alignment horizontal="left"/>
    </xf>
    <xf numFmtId="0" fontId="5" fillId="3" borderId="0" xfId="3" applyFont="1" applyFill="1"/>
    <xf numFmtId="0" fontId="4" fillId="0" borderId="0" xfId="3" applyFont="1" applyAlignment="1">
      <alignment vertical="center"/>
    </xf>
    <xf numFmtId="0" fontId="4" fillId="0" borderId="0" xfId="3" applyFont="1"/>
    <xf numFmtId="0" fontId="5" fillId="0" borderId="0" xfId="3" applyFont="1"/>
    <xf numFmtId="0" fontId="4" fillId="0" borderId="23" xfId="3" applyFont="1" applyBorder="1"/>
    <xf numFmtId="0" fontId="4" fillId="3" borderId="6" xfId="3" applyFont="1" applyFill="1" applyBorder="1" applyAlignment="1">
      <alignment horizontal="left"/>
    </xf>
    <xf numFmtId="0" fontId="4" fillId="3" borderId="34" xfId="3" applyFont="1" applyFill="1" applyBorder="1" applyAlignment="1">
      <alignment horizontal="left" vertical="top"/>
    </xf>
    <xf numFmtId="0" fontId="4" fillId="3" borderId="6" xfId="3" applyFont="1" applyFill="1" applyBorder="1" applyAlignment="1">
      <alignment vertical="center"/>
    </xf>
    <xf numFmtId="0" fontId="5" fillId="3" borderId="38" xfId="3" applyFont="1" applyFill="1" applyBorder="1" applyAlignment="1">
      <alignment vertical="center"/>
    </xf>
    <xf numFmtId="0" fontId="5" fillId="3" borderId="27" xfId="3" applyFont="1" applyFill="1" applyBorder="1" applyAlignment="1">
      <alignment vertical="center"/>
    </xf>
    <xf numFmtId="0" fontId="5" fillId="4" borderId="12" xfId="3" applyFont="1" applyFill="1" applyBorder="1" applyAlignment="1">
      <alignment horizontal="center" vertical="center"/>
    </xf>
    <xf numFmtId="0" fontId="4" fillId="0" borderId="6" xfId="3" applyFont="1" applyBorder="1" applyAlignment="1">
      <alignment horizontal="center"/>
    </xf>
    <xf numFmtId="164" fontId="4" fillId="0" borderId="2" xfId="3" applyNumberFormat="1" applyFont="1" applyBorder="1" applyAlignment="1">
      <alignment horizontal="center" vertical="center" wrapText="1"/>
    </xf>
    <xf numFmtId="0" fontId="4" fillId="0" borderId="6" xfId="3" applyFont="1" applyBorder="1" applyAlignment="1">
      <alignment horizontal="center" wrapText="1"/>
    </xf>
    <xf numFmtId="164" fontId="4" fillId="0" borderId="6" xfId="3" applyNumberFormat="1" applyFont="1" applyBorder="1" applyAlignment="1">
      <alignment horizontal="center" vertical="center" wrapText="1"/>
    </xf>
    <xf numFmtId="164" fontId="4" fillId="0" borderId="5" xfId="3" applyNumberFormat="1" applyFont="1" applyBorder="1" applyAlignment="1">
      <alignment horizontal="center" vertical="center" wrapText="1"/>
    </xf>
    <xf numFmtId="0" fontId="5" fillId="0" borderId="10" xfId="3" applyFont="1" applyBorder="1" applyAlignment="1">
      <alignment wrapText="1"/>
    </xf>
    <xf numFmtId="0" fontId="5" fillId="0" borderId="2" xfId="3" applyFont="1" applyBorder="1" applyAlignment="1">
      <alignment wrapText="1"/>
    </xf>
    <xf numFmtId="2" fontId="5" fillId="3" borderId="23" xfId="3" applyNumberFormat="1" applyFont="1" applyFill="1" applyBorder="1" applyAlignment="1">
      <alignment horizontal="center" vertical="center" wrapText="1"/>
    </xf>
    <xf numFmtId="0" fontId="5" fillId="0" borderId="21" xfId="3" applyFont="1" applyBorder="1"/>
    <xf numFmtId="0" fontId="5" fillId="0" borderId="6" xfId="3" applyFont="1" applyBorder="1" applyAlignment="1">
      <alignment wrapText="1"/>
    </xf>
    <xf numFmtId="0" fontId="5" fillId="0" borderId="11" xfId="3" applyFont="1" applyBorder="1"/>
    <xf numFmtId="0" fontId="4" fillId="0" borderId="5" xfId="3" applyFont="1" applyBorder="1" applyAlignment="1">
      <alignment wrapText="1"/>
    </xf>
    <xf numFmtId="0" fontId="4" fillId="3" borderId="0" xfId="3" applyFont="1" applyFill="1" applyAlignment="1">
      <alignment horizontal="center" vertical="center" wrapText="1"/>
    </xf>
    <xf numFmtId="0" fontId="4" fillId="3" borderId="23" xfId="3" applyFont="1" applyFill="1" applyBorder="1" applyAlignment="1">
      <alignment horizontal="center" vertical="center" wrapText="1"/>
    </xf>
    <xf numFmtId="0" fontId="1" fillId="2" borderId="3" xfId="3" applyFill="1" applyBorder="1" applyAlignment="1">
      <alignment horizontal="left" vertical="center"/>
    </xf>
    <xf numFmtId="167" fontId="13" fillId="0" borderId="0" xfId="3" applyNumberFormat="1" applyFont="1"/>
    <xf numFmtId="0" fontId="1" fillId="2" borderId="1" xfId="3" applyFill="1" applyBorder="1" applyAlignment="1">
      <alignment horizontal="left" vertical="center"/>
    </xf>
    <xf numFmtId="0" fontId="1" fillId="2" borderId="24" xfId="3" applyFill="1" applyBorder="1" applyAlignment="1">
      <alignment horizontal="center" vertical="center"/>
    </xf>
    <xf numFmtId="0" fontId="1" fillId="0" borderId="32" xfId="3" applyBorder="1" applyAlignment="1">
      <alignment horizontal="left" vertical="center"/>
    </xf>
    <xf numFmtId="2" fontId="1" fillId="9" borderId="32" xfId="3" applyNumberFormat="1" applyFill="1" applyBorder="1"/>
    <xf numFmtId="0" fontId="12" fillId="0" borderId="32" xfId="3" applyFont="1" applyBorder="1"/>
    <xf numFmtId="0" fontId="1" fillId="0" borderId="30" xfId="3" applyBorder="1" applyAlignment="1">
      <alignment horizontal="left" vertical="center"/>
    </xf>
    <xf numFmtId="2" fontId="1" fillId="9" borderId="30" xfId="3" applyNumberFormat="1" applyFill="1" applyBorder="1"/>
    <xf numFmtId="0" fontId="12" fillId="0" borderId="30" xfId="3" applyFont="1" applyBorder="1"/>
    <xf numFmtId="0" fontId="11" fillId="0" borderId="0" xfId="3" applyFont="1"/>
    <xf numFmtId="0" fontId="11" fillId="0" borderId="46" xfId="3" applyFont="1" applyBorder="1"/>
    <xf numFmtId="0" fontId="11" fillId="0" borderId="33" xfId="3" applyFont="1" applyBorder="1"/>
    <xf numFmtId="0" fontId="1" fillId="9" borderId="0" xfId="3" applyFill="1"/>
    <xf numFmtId="0" fontId="1" fillId="2" borderId="0" xfId="3" applyFill="1"/>
    <xf numFmtId="0" fontId="1" fillId="2" borderId="0" xfId="3" applyFill="1" applyAlignment="1">
      <alignment horizontal="left" vertical="center"/>
    </xf>
    <xf numFmtId="0" fontId="11" fillId="0" borderId="33" xfId="3" applyFont="1" applyBorder="1" applyAlignment="1">
      <alignment horizontal="left" vertical="center"/>
    </xf>
    <xf numFmtId="0" fontId="1" fillId="0" borderId="0" xfId="3" applyAlignment="1">
      <alignment wrapText="1"/>
    </xf>
    <xf numFmtId="0" fontId="11" fillId="7" borderId="33" xfId="3" applyFont="1" applyFill="1" applyBorder="1" applyAlignment="1">
      <alignment horizontal="left" vertical="center"/>
    </xf>
    <xf numFmtId="0" fontId="1" fillId="0" borderId="0" xfId="3" applyAlignment="1">
      <alignment vertical="center" textRotation="90"/>
    </xf>
    <xf numFmtId="0" fontId="11" fillId="7" borderId="33" xfId="3" applyFont="1" applyFill="1" applyBorder="1"/>
    <xf numFmtId="167" fontId="1" fillId="0" borderId="0" xfId="3" applyNumberFormat="1"/>
    <xf numFmtId="0" fontId="1" fillId="0" borderId="0" xfId="3" applyAlignment="1">
      <alignment horizontal="left"/>
    </xf>
    <xf numFmtId="169" fontId="1" fillId="0" borderId="0" xfId="3" applyNumberFormat="1" applyAlignment="1">
      <alignment horizontal="left" vertical="center"/>
    </xf>
    <xf numFmtId="0" fontId="13" fillId="0" borderId="0" xfId="3" applyFont="1"/>
    <xf numFmtId="0" fontId="18" fillId="0" borderId="0" xfId="3" applyFont="1"/>
    <xf numFmtId="0" fontId="4" fillId="3" borderId="0" xfId="3" applyFont="1" applyFill="1" applyAlignment="1">
      <alignment vertical="center"/>
    </xf>
    <xf numFmtId="0" fontId="25" fillId="0" borderId="0" xfId="3" applyFont="1"/>
    <xf numFmtId="0" fontId="15" fillId="3" borderId="61" xfId="3" applyFont="1" applyFill="1" applyBorder="1" applyAlignment="1">
      <alignment vertical="center"/>
    </xf>
    <xf numFmtId="0" fontId="16" fillId="0" borderId="0" xfId="3" applyFont="1" applyAlignment="1">
      <alignment vertical="center"/>
    </xf>
    <xf numFmtId="0" fontId="16" fillId="2" borderId="48" xfId="3" applyFont="1" applyFill="1" applyBorder="1" applyAlignment="1">
      <alignment vertical="center"/>
    </xf>
    <xf numFmtId="0" fontId="25" fillId="0" borderId="0" xfId="3" applyFont="1" applyAlignment="1">
      <alignment horizontal="left" vertical="top"/>
    </xf>
    <xf numFmtId="0" fontId="16" fillId="0" borderId="0" xfId="3" applyFont="1" applyAlignment="1">
      <alignment horizontal="center" vertical="center"/>
    </xf>
    <xf numFmtId="2" fontId="16" fillId="0" borderId="24" xfId="3" applyNumberFormat="1" applyFont="1" applyBorder="1" applyAlignment="1">
      <alignment horizontal="center" vertical="center"/>
    </xf>
    <xf numFmtId="2" fontId="16" fillId="0" borderId="1" xfId="3" applyNumberFormat="1" applyFont="1" applyBorder="1" applyAlignment="1">
      <alignment horizontal="center" vertical="center"/>
    </xf>
    <xf numFmtId="2" fontId="16" fillId="0" borderId="5" xfId="3" applyNumberFormat="1" applyFont="1" applyBorder="1" applyAlignment="1">
      <alignment horizontal="center" vertical="center"/>
    </xf>
    <xf numFmtId="2" fontId="16" fillId="0" borderId="23" xfId="3" applyNumberFormat="1" applyFont="1" applyBorder="1" applyAlignment="1">
      <alignment horizontal="center" vertical="center"/>
    </xf>
    <xf numFmtId="2" fontId="16" fillId="0" borderId="6" xfId="3" applyNumberFormat="1" applyFont="1" applyBorder="1" applyAlignment="1">
      <alignment horizontal="center" vertical="center"/>
    </xf>
    <xf numFmtId="2" fontId="16" fillId="0" borderId="4" xfId="3" applyNumberFormat="1" applyFont="1" applyBorder="1" applyAlignment="1">
      <alignment horizontal="center" vertical="center"/>
    </xf>
    <xf numFmtId="2" fontId="16" fillId="0" borderId="3" xfId="3" applyNumberFormat="1" applyFont="1" applyBorder="1" applyAlignment="1">
      <alignment horizontal="center" vertical="center"/>
    </xf>
    <xf numFmtId="2" fontId="16" fillId="0" borderId="2" xfId="3" applyNumberFormat="1" applyFont="1" applyBorder="1" applyAlignment="1">
      <alignment horizontal="center" vertical="center"/>
    </xf>
    <xf numFmtId="3" fontId="12" fillId="6" borderId="32" xfId="0" applyNumberFormat="1" applyFont="1" applyFill="1" applyBorder="1"/>
    <xf numFmtId="3" fontId="12" fillId="6" borderId="30" xfId="0" applyNumberFormat="1" applyFont="1" applyFill="1" applyBorder="1"/>
    <xf numFmtId="0" fontId="13" fillId="0" borderId="20" xfId="0" applyFont="1" applyBorder="1"/>
    <xf numFmtId="0" fontId="13" fillId="3" borderId="8" xfId="0" applyFont="1" applyFill="1" applyBorder="1" applyAlignment="1">
      <alignment vertical="center"/>
    </xf>
    <xf numFmtId="0" fontId="19" fillId="4" borderId="12" xfId="0" applyFont="1" applyFill="1" applyBorder="1" applyAlignment="1">
      <alignment horizontal="right" vertical="top"/>
    </xf>
    <xf numFmtId="0" fontId="19" fillId="4" borderId="9" xfId="0" quotePrefix="1" applyFont="1" applyFill="1" applyBorder="1" applyAlignment="1">
      <alignment vertical="top"/>
    </xf>
    <xf numFmtId="0" fontId="19" fillId="4" borderId="12" xfId="0" applyFont="1" applyFill="1" applyBorder="1" applyAlignment="1">
      <alignment horizontal="center" vertical="center"/>
    </xf>
    <xf numFmtId="0" fontId="13" fillId="13" borderId="0" xfId="3" applyFont="1" applyFill="1" applyAlignment="1">
      <alignment horizontal="left" vertical="top"/>
    </xf>
    <xf numFmtId="0" fontId="13" fillId="13" borderId="0" xfId="3" applyFont="1" applyFill="1" applyAlignment="1">
      <alignment horizontal="left" vertical="top" wrapText="1"/>
    </xf>
    <xf numFmtId="0" fontId="13" fillId="0" borderId="7" xfId="0" applyFont="1" applyBorder="1"/>
    <xf numFmtId="0" fontId="13" fillId="0" borderId="7" xfId="1" applyFont="1" applyBorder="1"/>
    <xf numFmtId="0" fontId="13" fillId="3" borderId="7" xfId="0" applyFont="1" applyFill="1" applyBorder="1" applyAlignment="1">
      <alignment vertical="center"/>
    </xf>
    <xf numFmtId="0" fontId="13" fillId="3" borderId="5" xfId="0" applyFont="1" applyFill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19" fillId="0" borderId="0" xfId="0" applyFont="1" applyAlignment="1">
      <alignment horizontal="right"/>
    </xf>
    <xf numFmtId="0" fontId="4" fillId="3" borderId="62" xfId="3" applyFont="1" applyFill="1" applyBorder="1" applyAlignment="1">
      <alignment horizontal="center"/>
    </xf>
    <xf numFmtId="3" fontId="19" fillId="4" borderId="8" xfId="0" applyNumberFormat="1" applyFont="1" applyFill="1" applyBorder="1" applyAlignment="1">
      <alignment vertical="center"/>
    </xf>
    <xf numFmtId="3" fontId="15" fillId="13" borderId="16" xfId="0" applyNumberFormat="1" applyFont="1" applyFill="1" applyBorder="1" applyAlignment="1">
      <alignment horizontal="left" vertical="top"/>
    </xf>
    <xf numFmtId="14" fontId="19" fillId="0" borderId="8" xfId="0" applyNumberFormat="1" applyFont="1" applyBorder="1" applyAlignment="1">
      <alignment horizontal="center" vertical="center"/>
    </xf>
    <xf numFmtId="0" fontId="19" fillId="8" borderId="1" xfId="0" applyFont="1" applyFill="1" applyBorder="1" applyAlignment="1">
      <alignment horizontal="left" vertical="center"/>
    </xf>
    <xf numFmtId="0" fontId="19" fillId="8" borderId="51" xfId="0" applyFont="1" applyFill="1" applyBorder="1" applyAlignment="1">
      <alignment vertical="center"/>
    </xf>
    <xf numFmtId="0" fontId="19" fillId="8" borderId="15" xfId="0" applyFont="1" applyFill="1" applyBorder="1" applyAlignment="1">
      <alignment horizontal="left" vertical="center"/>
    </xf>
    <xf numFmtId="0" fontId="19" fillId="16" borderId="1" xfId="0" applyFont="1" applyFill="1" applyBorder="1" applyAlignment="1">
      <alignment horizontal="left" vertical="center"/>
    </xf>
    <xf numFmtId="0" fontId="19" fillId="16" borderId="51" xfId="0" applyFont="1" applyFill="1" applyBorder="1" applyAlignment="1">
      <alignment vertical="center"/>
    </xf>
    <xf numFmtId="49" fontId="19" fillId="0" borderId="0" xfId="0" applyNumberFormat="1" applyFont="1" applyAlignment="1">
      <alignment horizontal="left" vertical="center"/>
    </xf>
    <xf numFmtId="49" fontId="19" fillId="0" borderId="8" xfId="0" applyNumberFormat="1" applyFont="1" applyBorder="1" applyAlignment="1">
      <alignment horizontal="center"/>
    </xf>
    <xf numFmtId="0" fontId="19" fillId="16" borderId="15" xfId="0" applyFont="1" applyFill="1" applyBorder="1" applyAlignment="1">
      <alignment horizontal="left" vertical="center"/>
    </xf>
    <xf numFmtId="0" fontId="19" fillId="8" borderId="8" xfId="0" applyFont="1" applyFill="1" applyBorder="1" applyAlignment="1">
      <alignment horizontal="left" vertical="center"/>
    </xf>
    <xf numFmtId="0" fontId="19" fillId="16" borderId="0" xfId="0" applyFont="1" applyFill="1" applyAlignment="1">
      <alignment vertical="center"/>
    </xf>
    <xf numFmtId="0" fontId="19" fillId="8" borderId="0" xfId="0" applyFont="1" applyFill="1" applyAlignment="1">
      <alignment vertical="center"/>
    </xf>
    <xf numFmtId="0" fontId="19" fillId="0" borderId="8" xfId="0" applyFont="1" applyBorder="1" applyAlignment="1">
      <alignment vertical="center"/>
    </xf>
    <xf numFmtId="0" fontId="19" fillId="0" borderId="19" xfId="0" applyFont="1" applyBorder="1" applyAlignment="1">
      <alignment vertical="center"/>
    </xf>
    <xf numFmtId="0" fontId="19" fillId="0" borderId="51" xfId="0" applyFont="1" applyBorder="1" applyAlignment="1">
      <alignment vertical="center"/>
    </xf>
    <xf numFmtId="0" fontId="19" fillId="0" borderId="3" xfId="0" applyFont="1" applyBorder="1" applyAlignment="1">
      <alignment vertical="center"/>
    </xf>
    <xf numFmtId="0" fontId="19" fillId="16" borderId="19" xfId="0" applyFont="1" applyFill="1" applyBorder="1" applyAlignment="1">
      <alignment horizontal="left" vertical="center"/>
    </xf>
    <xf numFmtId="0" fontId="19" fillId="16" borderId="7" xfId="0" applyFont="1" applyFill="1" applyBorder="1" applyAlignment="1">
      <alignment vertical="center"/>
    </xf>
    <xf numFmtId="0" fontId="19" fillId="16" borderId="5" xfId="0" applyFont="1" applyFill="1" applyBorder="1" applyAlignment="1">
      <alignment vertical="center"/>
    </xf>
    <xf numFmtId="0" fontId="19" fillId="16" borderId="17" xfId="0" applyFont="1" applyFill="1" applyBorder="1" applyAlignment="1">
      <alignment vertical="center"/>
    </xf>
    <xf numFmtId="0" fontId="19" fillId="0" borderId="1" xfId="0" applyFont="1" applyBorder="1" applyAlignment="1">
      <alignment horizontal="left" vertical="center"/>
    </xf>
    <xf numFmtId="0" fontId="19" fillId="0" borderId="24" xfId="0" applyFont="1" applyBorder="1" applyAlignment="1">
      <alignment horizontal="left" vertical="center"/>
    </xf>
    <xf numFmtId="0" fontId="19" fillId="8" borderId="19" xfId="0" applyFont="1" applyFill="1" applyBorder="1" applyAlignment="1">
      <alignment vertical="center"/>
    </xf>
    <xf numFmtId="0" fontId="19" fillId="0" borderId="7" xfId="0" applyFont="1" applyBorder="1" applyAlignment="1">
      <alignment vertical="center"/>
    </xf>
    <xf numFmtId="0" fontId="19" fillId="0" borderId="52" xfId="0" applyFont="1" applyBorder="1" applyAlignment="1">
      <alignment vertical="center"/>
    </xf>
    <xf numFmtId="0" fontId="19" fillId="0" borderId="12" xfId="0" applyFont="1" applyBorder="1" applyAlignment="1">
      <alignment vertical="center"/>
    </xf>
    <xf numFmtId="0" fontId="19" fillId="0" borderId="12" xfId="0" applyFont="1" applyBorder="1"/>
    <xf numFmtId="0" fontId="13" fillId="13" borderId="17" xfId="0" applyFont="1" applyFill="1" applyBorder="1" applyAlignment="1">
      <alignment horizontal="center" vertical="center"/>
    </xf>
    <xf numFmtId="0" fontId="13" fillId="13" borderId="0" xfId="0" applyFont="1" applyFill="1"/>
    <xf numFmtId="0" fontId="13" fillId="13" borderId="20" xfId="0" applyFont="1" applyFill="1" applyBorder="1" applyAlignment="1">
      <alignment horizontal="left" vertical="top"/>
    </xf>
    <xf numFmtId="0" fontId="4" fillId="0" borderId="65" xfId="3" applyFont="1" applyBorder="1" applyAlignment="1">
      <alignment horizontal="center" vertical="center" wrapText="1"/>
    </xf>
    <xf numFmtId="0" fontId="15" fillId="0" borderId="17" xfId="0" applyFont="1" applyBorder="1"/>
    <xf numFmtId="0" fontId="16" fillId="0" borderId="17" xfId="0" applyFont="1" applyBorder="1" applyAlignment="1">
      <alignment horizontal="center" vertical="center" wrapText="1"/>
    </xf>
    <xf numFmtId="0" fontId="4" fillId="0" borderId="8" xfId="0" quotePrefix="1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center"/>
    </xf>
    <xf numFmtId="0" fontId="4" fillId="0" borderId="23" xfId="3" applyFont="1" applyBorder="1" applyAlignment="1">
      <alignment vertical="center" wrapText="1"/>
    </xf>
    <xf numFmtId="0" fontId="4" fillId="0" borderId="6" xfId="3" applyFont="1" applyBorder="1" applyAlignment="1">
      <alignment vertical="center" wrapText="1"/>
    </xf>
    <xf numFmtId="0" fontId="4" fillId="0" borderId="0" xfId="3" applyFont="1" applyAlignment="1">
      <alignment vertical="center" wrapText="1"/>
    </xf>
    <xf numFmtId="2" fontId="4" fillId="0" borderId="0" xfId="3" applyNumberFormat="1" applyFont="1" applyAlignment="1">
      <alignment vertical="center" wrapText="1"/>
    </xf>
    <xf numFmtId="0" fontId="4" fillId="0" borderId="3" xfId="3" applyFont="1" applyBorder="1" applyAlignment="1">
      <alignment horizontal="right" vertical="center" wrapText="1"/>
    </xf>
    <xf numFmtId="0" fontId="4" fillId="0" borderId="4" xfId="3" applyFont="1" applyBorder="1" applyAlignment="1">
      <alignment vertical="center" wrapText="1"/>
    </xf>
    <xf numFmtId="0" fontId="1" fillId="10" borderId="0" xfId="0" applyFont="1" applyFill="1"/>
    <xf numFmtId="0" fontId="19" fillId="0" borderId="23" xfId="0" applyFont="1" applyBorder="1" applyAlignment="1">
      <alignment horizontal="center" vertical="center"/>
    </xf>
    <xf numFmtId="0" fontId="19" fillId="11" borderId="40" xfId="0" applyFont="1" applyFill="1" applyBorder="1"/>
    <xf numFmtId="0" fontId="10" fillId="0" borderId="23" xfId="0" applyFont="1" applyBorder="1" applyAlignment="1">
      <alignment vertical="center"/>
    </xf>
    <xf numFmtId="0" fontId="19" fillId="0" borderId="23" xfId="0" applyFont="1" applyBorder="1" applyAlignment="1">
      <alignment horizontal="left"/>
    </xf>
    <xf numFmtId="0" fontId="19" fillId="0" borderId="10" xfId="0" applyFont="1" applyBorder="1"/>
    <xf numFmtId="0" fontId="10" fillId="0" borderId="6" xfId="0" applyFont="1" applyBorder="1" applyAlignment="1">
      <alignment vertical="center"/>
    </xf>
    <xf numFmtId="0" fontId="19" fillId="0" borderId="0" xfId="0" applyFont="1" applyAlignment="1">
      <alignment horizontal="center" vertical="center" wrapText="1"/>
    </xf>
    <xf numFmtId="0" fontId="10" fillId="0" borderId="11" xfId="0" applyFont="1" applyBorder="1" applyAlignment="1">
      <alignment vertical="center"/>
    </xf>
    <xf numFmtId="2" fontId="4" fillId="0" borderId="0" xfId="3" applyNumberFormat="1" applyFont="1" applyAlignment="1">
      <alignment horizontal="center" vertical="center"/>
    </xf>
    <xf numFmtId="0" fontId="19" fillId="18" borderId="8" xfId="0" applyFont="1" applyFill="1" applyBorder="1" applyAlignment="1">
      <alignment horizontal="center"/>
    </xf>
    <xf numFmtId="0" fontId="19" fillId="18" borderId="8" xfId="0" applyFont="1" applyFill="1" applyBorder="1" applyAlignment="1">
      <alignment horizontal="right"/>
    </xf>
    <xf numFmtId="0" fontId="9" fillId="0" borderId="8" xfId="0" applyFont="1" applyBorder="1" applyAlignment="1">
      <alignment horizontal="center" vertical="center" wrapText="1"/>
    </xf>
    <xf numFmtId="0" fontId="15" fillId="19" borderId="17" xfId="0" applyFont="1" applyFill="1" applyBorder="1" applyAlignment="1">
      <alignment horizontal="left" vertical="center"/>
    </xf>
    <xf numFmtId="0" fontId="15" fillId="19" borderId="0" xfId="0" applyFont="1" applyFill="1"/>
    <xf numFmtId="0" fontId="15" fillId="19" borderId="20" xfId="0" applyFont="1" applyFill="1" applyBorder="1" applyAlignment="1">
      <alignment horizontal="left" vertical="top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2" fontId="4" fillId="0" borderId="0" xfId="0" applyNumberFormat="1" applyFont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11" xfId="0" applyFont="1" applyBorder="1" applyAlignment="1">
      <alignment vertical="center"/>
    </xf>
    <xf numFmtId="3" fontId="19" fillId="0" borderId="21" xfId="0" applyNumberFormat="1" applyFont="1" applyBorder="1" applyAlignment="1">
      <alignment horizontal="center" vertical="center" wrapText="1"/>
    </xf>
    <xf numFmtId="0" fontId="19" fillId="0" borderId="21" xfId="0" applyFont="1" applyBorder="1" applyAlignment="1">
      <alignment horizontal="left" vertical="center" wrapText="1"/>
    </xf>
    <xf numFmtId="0" fontId="10" fillId="0" borderId="21" xfId="0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right" wrapText="1"/>
    </xf>
    <xf numFmtId="0" fontId="19" fillId="0" borderId="7" xfId="0" applyFont="1" applyBorder="1" applyAlignment="1">
      <alignment horizontal="right" wrapText="1"/>
    </xf>
    <xf numFmtId="0" fontId="19" fillId="16" borderId="15" xfId="0" applyFont="1" applyFill="1" applyBorder="1" applyAlignment="1">
      <alignment vertical="center"/>
    </xf>
    <xf numFmtId="0" fontId="19" fillId="0" borderId="8" xfId="0" applyFont="1" applyBorder="1" applyAlignment="1">
      <alignment horizontal="right"/>
    </xf>
    <xf numFmtId="0" fontId="4" fillId="0" borderId="3" xfId="0" applyFont="1" applyBorder="1" applyAlignment="1">
      <alignment vertical="center" wrapText="1"/>
    </xf>
    <xf numFmtId="0" fontId="1" fillId="10" borderId="0" xfId="0" applyFont="1" applyFill="1" applyAlignment="1">
      <alignment horizontal="center"/>
    </xf>
    <xf numFmtId="0" fontId="19" fillId="14" borderId="8" xfId="0" applyFont="1" applyFill="1" applyBorder="1" applyAlignment="1">
      <alignment horizontal="center"/>
    </xf>
    <xf numFmtId="0" fontId="21" fillId="0" borderId="23" xfId="0" applyFont="1" applyBorder="1"/>
    <xf numFmtId="0" fontId="5" fillId="3" borderId="28" xfId="0" applyFont="1" applyFill="1" applyBorder="1" applyAlignment="1">
      <alignment vertical="center"/>
    </xf>
    <xf numFmtId="0" fontId="5" fillId="3" borderId="6" xfId="0" applyFont="1" applyFill="1" applyBorder="1" applyAlignment="1">
      <alignment vertical="center"/>
    </xf>
    <xf numFmtId="0" fontId="5" fillId="3" borderId="0" xfId="0" applyFont="1" applyFill="1" applyAlignment="1">
      <alignment vertical="center"/>
    </xf>
    <xf numFmtId="49" fontId="19" fillId="0" borderId="0" xfId="0" applyNumberFormat="1" applyFont="1" applyAlignment="1">
      <alignment horizontal="right"/>
    </xf>
    <xf numFmtId="0" fontId="4" fillId="0" borderId="8" xfId="0" applyFont="1" applyBorder="1" applyAlignment="1">
      <alignment vertical="center"/>
    </xf>
    <xf numFmtId="0" fontId="4" fillId="0" borderId="8" xfId="0" applyFont="1" applyBorder="1" applyAlignment="1">
      <alignment vertical="center" wrapText="1"/>
    </xf>
    <xf numFmtId="0" fontId="9" fillId="0" borderId="21" xfId="3" applyFont="1" applyBorder="1" applyAlignment="1">
      <alignment horizontal="center" vertical="center" wrapText="1"/>
    </xf>
    <xf numFmtId="49" fontId="1" fillId="0" borderId="1" xfId="0" applyNumberFormat="1" applyFont="1" applyBorder="1"/>
    <xf numFmtId="0" fontId="17" fillId="0" borderId="1" xfId="0" applyFont="1" applyBorder="1"/>
    <xf numFmtId="0" fontId="4" fillId="0" borderId="1" xfId="0" applyFont="1" applyBorder="1" applyAlignment="1">
      <alignment horizontal="right" vertical="center"/>
    </xf>
    <xf numFmtId="0" fontId="5" fillId="0" borderId="3" xfId="0" applyFont="1" applyBorder="1"/>
    <xf numFmtId="0" fontId="5" fillId="0" borderId="4" xfId="0" applyFont="1" applyBorder="1"/>
    <xf numFmtId="0" fontId="4" fillId="0" borderId="5" xfId="0" applyFont="1" applyBorder="1" applyAlignment="1">
      <alignment horizontal="right" vertical="center"/>
    </xf>
    <xf numFmtId="0" fontId="5" fillId="0" borderId="1" xfId="0" applyFont="1" applyBorder="1"/>
    <xf numFmtId="0" fontId="5" fillId="0" borderId="2" xfId="0" applyFont="1" applyBorder="1"/>
    <xf numFmtId="14" fontId="5" fillId="3" borderId="67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4" fillId="0" borderId="5" xfId="0" applyFont="1" applyBorder="1" applyAlignment="1">
      <alignment horizontal="right" vertical="center" wrapText="1"/>
    </xf>
    <xf numFmtId="0" fontId="4" fillId="0" borderId="1" xfId="0" applyFont="1" applyBorder="1" applyAlignment="1">
      <alignment horizontal="right" vertical="center" wrapText="1"/>
    </xf>
    <xf numFmtId="0" fontId="19" fillId="14" borderId="15" xfId="0" applyFont="1" applyFill="1" applyBorder="1" applyAlignment="1">
      <alignment vertical="center"/>
    </xf>
    <xf numFmtId="49" fontId="0" fillId="14" borderId="0" xfId="0" applyNumberFormat="1" applyFill="1"/>
    <xf numFmtId="49" fontId="0" fillId="14" borderId="3" xfId="0" applyNumberFormat="1" applyFill="1" applyBorder="1"/>
    <xf numFmtId="0" fontId="19" fillId="8" borderId="19" xfId="0" applyFont="1" applyFill="1" applyBorder="1" applyAlignment="1">
      <alignment horizontal="left" vertical="center"/>
    </xf>
    <xf numFmtId="0" fontId="4" fillId="0" borderId="11" xfId="0" applyFont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5" fillId="0" borderId="23" xfId="3" applyFont="1" applyBorder="1"/>
    <xf numFmtId="170" fontId="1" fillId="8" borderId="0" xfId="3" applyNumberFormat="1" applyFill="1"/>
    <xf numFmtId="171" fontId="0" fillId="0" borderId="0" xfId="0" applyNumberFormat="1"/>
    <xf numFmtId="0" fontId="19" fillId="16" borderId="3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3" borderId="5" xfId="0" applyFont="1" applyFill="1" applyBorder="1" applyAlignment="1">
      <alignment horizontal="center" vertical="center"/>
    </xf>
    <xf numFmtId="0" fontId="19" fillId="0" borderId="6" xfId="0" applyFont="1" applyBorder="1" applyAlignment="1">
      <alignment wrapText="1"/>
    </xf>
    <xf numFmtId="0" fontId="19" fillId="0" borderId="0" xfId="0" applyFont="1" applyAlignment="1">
      <alignment wrapText="1"/>
    </xf>
    <xf numFmtId="49" fontId="19" fillId="0" borderId="1" xfId="0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23" fillId="0" borderId="0" xfId="3" applyFont="1"/>
    <xf numFmtId="49" fontId="5" fillId="0" borderId="0" xfId="0" applyNumberFormat="1" applyFont="1"/>
    <xf numFmtId="0" fontId="1" fillId="0" borderId="0" xfId="3" applyAlignment="1">
      <alignment horizontal="left" vertical="center"/>
    </xf>
    <xf numFmtId="3" fontId="12" fillId="6" borderId="0" xfId="0" applyNumberFormat="1" applyFont="1" applyFill="1"/>
    <xf numFmtId="2" fontId="1" fillId="9" borderId="0" xfId="3" applyNumberFormat="1" applyFill="1"/>
    <xf numFmtId="0" fontId="12" fillId="0" borderId="0" xfId="3" applyFont="1"/>
    <xf numFmtId="0" fontId="1" fillId="8" borderId="0" xfId="3" applyFill="1"/>
    <xf numFmtId="0" fontId="1" fillId="8" borderId="30" xfId="3" applyFill="1" applyBorder="1"/>
    <xf numFmtId="0" fontId="1" fillId="0" borderId="0" xfId="3"/>
    <xf numFmtId="2" fontId="16" fillId="0" borderId="0" xfId="3" applyNumberFormat="1" applyFont="1" applyAlignment="1">
      <alignment horizontal="center" vertical="center"/>
    </xf>
    <xf numFmtId="49" fontId="16" fillId="0" borderId="0" xfId="3" applyNumberFormat="1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0" fontId="12" fillId="0" borderId="0" xfId="0" applyFont="1"/>
    <xf numFmtId="0" fontId="1" fillId="0" borderId="1" xfId="0" applyFont="1" applyBorder="1" applyAlignment="1">
      <alignment horizontal="left" vertical="center"/>
    </xf>
    <xf numFmtId="3" fontId="12" fillId="6" borderId="1" xfId="0" applyNumberFormat="1" applyFont="1" applyFill="1" applyBorder="1"/>
    <xf numFmtId="0" fontId="12" fillId="0" borderId="1" xfId="0" applyFont="1" applyBorder="1"/>
    <xf numFmtId="0" fontId="1" fillId="0" borderId="3" xfId="0" applyFont="1" applyBorder="1" applyAlignment="1">
      <alignment horizontal="left" vertical="center"/>
    </xf>
    <xf numFmtId="3" fontId="12" fillId="6" borderId="3" xfId="0" applyNumberFormat="1" applyFont="1" applyFill="1" applyBorder="1"/>
    <xf numFmtId="0" fontId="12" fillId="0" borderId="3" xfId="0" applyFont="1" applyBorder="1"/>
    <xf numFmtId="0" fontId="19" fillId="0" borderId="0" xfId="0" applyFont="1"/>
    <xf numFmtId="49" fontId="13" fillId="0" borderId="0" xfId="0" applyNumberFormat="1" applyFont="1"/>
    <xf numFmtId="0" fontId="2" fillId="0" borderId="0" xfId="2"/>
    <xf numFmtId="0" fontId="5" fillId="3" borderId="6" xfId="0" applyFont="1" applyFill="1" applyBorder="1"/>
    <xf numFmtId="0" fontId="5" fillId="3" borderId="0" xfId="0" applyFont="1" applyFill="1"/>
    <xf numFmtId="0" fontId="4" fillId="3" borderId="42" xfId="0" applyFont="1" applyFill="1" applyBorder="1" applyAlignment="1">
      <alignment horizontal="left" vertical="top"/>
    </xf>
    <xf numFmtId="0" fontId="5" fillId="3" borderId="42" xfId="0" applyFont="1" applyFill="1" applyBorder="1"/>
    <xf numFmtId="0" fontId="4" fillId="0" borderId="42" xfId="0" applyFont="1" applyBorder="1" applyAlignment="1">
      <alignment vertical="center"/>
    </xf>
    <xf numFmtId="0" fontId="13" fillId="12" borderId="16" xfId="0" applyFont="1" applyFill="1" applyBorder="1" applyAlignment="1">
      <alignment horizontal="left" vertical="top" wrapText="1"/>
    </xf>
    <xf numFmtId="0" fontId="5" fillId="3" borderId="6" xfId="3" applyFont="1" applyFill="1" applyBorder="1"/>
    <xf numFmtId="0" fontId="4" fillId="3" borderId="42" xfId="3" applyFont="1" applyFill="1" applyBorder="1" applyAlignment="1">
      <alignment horizontal="left" vertical="top"/>
    </xf>
    <xf numFmtId="0" fontId="5" fillId="3" borderId="42" xfId="3" applyFont="1" applyFill="1" applyBorder="1"/>
    <xf numFmtId="0" fontId="4" fillId="0" borderId="42" xfId="3" applyFont="1" applyBorder="1" applyAlignment="1">
      <alignment vertical="center"/>
    </xf>
    <xf numFmtId="0" fontId="5" fillId="3" borderId="68" xfId="0" applyFont="1" applyFill="1" applyBorder="1" applyAlignment="1">
      <alignment horizontal="center" vertical="center"/>
    </xf>
    <xf numFmtId="0" fontId="19" fillId="11" borderId="21" xfId="0" applyFont="1" applyFill="1" applyBorder="1" applyAlignment="1">
      <alignment horizontal="center" vertical="center" wrapText="1"/>
    </xf>
    <xf numFmtId="0" fontId="15" fillId="13" borderId="20" xfId="0" applyFont="1" applyFill="1" applyBorder="1" applyAlignment="1">
      <alignment horizontal="left" vertical="center"/>
    </xf>
    <xf numFmtId="0" fontId="15" fillId="13" borderId="0" xfId="0" applyFont="1" applyFill="1" applyAlignment="1">
      <alignment vertical="center"/>
    </xf>
    <xf numFmtId="14" fontId="5" fillId="0" borderId="35" xfId="0" applyNumberFormat="1" applyFont="1" applyBorder="1" applyAlignment="1">
      <alignment horizontal="center" vertical="center"/>
    </xf>
    <xf numFmtId="0" fontId="19" fillId="14" borderId="0" xfId="0" applyFont="1" applyFill="1" applyAlignment="1">
      <alignment vertical="center"/>
    </xf>
    <xf numFmtId="0" fontId="19" fillId="0" borderId="0" xfId="0" applyFont="1" applyAlignment="1">
      <alignment vertical="center"/>
    </xf>
    <xf numFmtId="0" fontId="14" fillId="0" borderId="0" xfId="0" applyFont="1" applyAlignment="1">
      <alignment wrapText="1"/>
    </xf>
    <xf numFmtId="0" fontId="19" fillId="15" borderId="23" xfId="0" applyFont="1" applyFill="1" applyBorder="1"/>
    <xf numFmtId="49" fontId="4" fillId="0" borderId="0" xfId="0" applyNumberFormat="1" applyFont="1" applyAlignment="1">
      <alignment horizontal="center"/>
    </xf>
    <xf numFmtId="49" fontId="4" fillId="0" borderId="23" xfId="0" applyNumberFormat="1" applyFont="1" applyBorder="1" applyAlignment="1">
      <alignment vertical="center" wrapText="1"/>
    </xf>
    <xf numFmtId="49" fontId="4" fillId="0" borderId="24" xfId="0" applyNumberFormat="1" applyFont="1" applyBorder="1" applyAlignment="1">
      <alignment vertical="center" wrapText="1"/>
    </xf>
    <xf numFmtId="0" fontId="19" fillId="16" borderId="1" xfId="0" applyFont="1" applyFill="1" applyBorder="1" applyAlignment="1">
      <alignment vertical="center"/>
    </xf>
    <xf numFmtId="0" fontId="21" fillId="0" borderId="0" xfId="0" applyFont="1"/>
    <xf numFmtId="0" fontId="21" fillId="0" borderId="9" xfId="0" applyFont="1" applyBorder="1" applyAlignment="1">
      <alignment wrapText="1"/>
    </xf>
    <xf numFmtId="0" fontId="19" fillId="8" borderId="1" xfId="0" applyFont="1" applyFill="1" applyBorder="1" applyAlignment="1">
      <alignment vertical="center"/>
    </xf>
    <xf numFmtId="49" fontId="19" fillId="0" borderId="12" xfId="0" applyNumberFormat="1" applyFont="1" applyBorder="1" applyAlignment="1">
      <alignment horizontal="right"/>
    </xf>
    <xf numFmtId="49" fontId="1" fillId="14" borderId="0" xfId="0" applyNumberFormat="1" applyFont="1" applyFill="1"/>
    <xf numFmtId="49" fontId="1" fillId="0" borderId="3" xfId="0" applyNumberFormat="1" applyFont="1" applyBorder="1"/>
    <xf numFmtId="0" fontId="0" fillId="0" borderId="0" xfId="0"/>
    <xf numFmtId="0" fontId="1" fillId="0" borderId="3" xfId="0" applyFont="1" applyBorder="1"/>
    <xf numFmtId="0" fontId="0" fillId="0" borderId="3" xfId="0" applyBorder="1"/>
    <xf numFmtId="0" fontId="1" fillId="0" borderId="1" xfId="0" applyFont="1" applyBorder="1"/>
    <xf numFmtId="0" fontId="30" fillId="0" borderId="0" xfId="0" applyFont="1" applyAlignment="1">
      <alignment vertical="center"/>
    </xf>
    <xf numFmtId="0" fontId="19" fillId="0" borderId="8" xfId="0" applyFont="1" applyBorder="1" applyAlignment="1">
      <alignment horizontal="right" vertical="center"/>
    </xf>
    <xf numFmtId="0" fontId="19" fillId="0" borderId="9" xfId="0" applyFont="1" applyBorder="1" applyAlignment="1">
      <alignment horizontal="right" vertical="center"/>
    </xf>
    <xf numFmtId="0" fontId="19" fillId="0" borderId="8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19" fillId="4" borderId="9" xfId="0" applyFont="1" applyFill="1" applyBorder="1" applyAlignment="1">
      <alignment horizontal="center"/>
    </xf>
    <xf numFmtId="0" fontId="19" fillId="0" borderId="10" xfId="0" applyFont="1" applyBorder="1" applyAlignment="1">
      <alignment horizontal="center"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0" fontId="19" fillId="4" borderId="4" xfId="0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8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19" fillId="0" borderId="7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9" fillId="0" borderId="24" xfId="0" applyFont="1" applyBorder="1" applyAlignment="1">
      <alignment horizontal="center"/>
    </xf>
    <xf numFmtId="0" fontId="19" fillId="0" borderId="15" xfId="0" applyFont="1" applyBorder="1" applyAlignment="1">
      <alignment horizontal="left" vertical="center"/>
    </xf>
    <xf numFmtId="0" fontId="19" fillId="4" borderId="9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4" fillId="0" borderId="56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4" fillId="0" borderId="42" xfId="0" applyFont="1" applyBorder="1" applyAlignment="1">
      <alignment horizontal="left" vertical="center"/>
    </xf>
    <xf numFmtId="164" fontId="4" fillId="0" borderId="4" xfId="0" applyNumberFormat="1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4" fontId="4" fillId="0" borderId="23" xfId="0" applyNumberFormat="1" applyFont="1" applyBorder="1" applyAlignment="1">
      <alignment horizontal="center" vertical="center" wrapText="1"/>
    </xf>
    <xf numFmtId="2" fontId="4" fillId="0" borderId="1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4" fillId="0" borderId="34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top" wrapText="1"/>
    </xf>
    <xf numFmtId="0" fontId="4" fillId="0" borderId="2" xfId="3" applyFont="1" applyBorder="1" applyAlignment="1">
      <alignment horizontal="center" vertical="center" wrapText="1"/>
    </xf>
    <xf numFmtId="0" fontId="4" fillId="0" borderId="23" xfId="3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/>
    </xf>
    <xf numFmtId="0" fontId="4" fillId="0" borderId="7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24" xfId="0" applyFont="1" applyBorder="1" applyAlignment="1">
      <alignment horizontal="left" vertical="center" wrapText="1"/>
    </xf>
    <xf numFmtId="0" fontId="4" fillId="0" borderId="23" xfId="0" applyFont="1" applyBorder="1" applyAlignment="1">
      <alignment horizontal="center" wrapText="1"/>
    </xf>
    <xf numFmtId="164" fontId="4" fillId="0" borderId="1" xfId="3" applyNumberFormat="1" applyFont="1" applyBorder="1" applyAlignment="1">
      <alignment horizontal="center" vertical="center" wrapText="1"/>
    </xf>
    <xf numFmtId="164" fontId="4" fillId="0" borderId="24" xfId="3" applyNumberFormat="1" applyFont="1" applyBorder="1" applyAlignment="1">
      <alignment horizontal="center" vertical="center" wrapText="1"/>
    </xf>
    <xf numFmtId="0" fontId="4" fillId="0" borderId="34" xfId="0" applyFont="1" applyBorder="1" applyAlignment="1">
      <alignment horizontal="left"/>
    </xf>
    <xf numFmtId="0" fontId="4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2" xfId="0" applyFont="1" applyBorder="1" applyAlignment="1">
      <alignment horizontal="center" wrapText="1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164" fontId="9" fillId="0" borderId="7" xfId="3" applyNumberFormat="1" applyFont="1" applyBorder="1" applyAlignment="1">
      <alignment horizontal="center" vertical="center" wrapText="1"/>
    </xf>
    <xf numFmtId="164" fontId="9" fillId="0" borderId="8" xfId="3" applyNumberFormat="1" applyFont="1" applyBorder="1" applyAlignment="1">
      <alignment horizontal="center" vertical="center" wrapText="1"/>
    </xf>
    <xf numFmtId="164" fontId="9" fillId="0" borderId="9" xfId="3" applyNumberFormat="1" applyFont="1" applyBorder="1" applyAlignment="1">
      <alignment horizontal="center" vertical="center" wrapText="1"/>
    </xf>
    <xf numFmtId="164" fontId="4" fillId="0" borderId="4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4" fillId="0" borderId="1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164" fontId="4" fillId="0" borderId="6" xfId="0" applyNumberFormat="1" applyFont="1" applyBorder="1" applyAlignment="1">
      <alignment horizontal="center" vertical="center" wrapText="1"/>
    </xf>
    <xf numFmtId="164" fontId="4" fillId="0" borderId="5" xfId="0" applyNumberFormat="1" applyFont="1" applyBorder="1" applyAlignment="1">
      <alignment horizontal="center" vertical="center" wrapText="1"/>
    </xf>
    <xf numFmtId="164" fontId="4" fillId="0" borderId="24" xfId="0" applyNumberFormat="1" applyFont="1" applyBorder="1" applyAlignment="1">
      <alignment horizontal="center" vertical="center" wrapText="1"/>
    </xf>
    <xf numFmtId="164" fontId="4" fillId="0" borderId="2" xfId="0" applyNumberFormat="1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5" fillId="3" borderId="23" xfId="0" applyFont="1" applyFill="1" applyBorder="1" applyAlignment="1">
      <alignment horizontal="center" vertical="center"/>
    </xf>
    <xf numFmtId="0" fontId="5" fillId="3" borderId="66" xfId="0" applyFont="1" applyFill="1" applyBorder="1" applyAlignment="1">
      <alignment horizontal="center" vertical="center"/>
    </xf>
    <xf numFmtId="0" fontId="5" fillId="3" borderId="43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0" borderId="8" xfId="0" applyFont="1" applyBorder="1" applyAlignment="1">
      <alignment horizontal="right" vertical="center"/>
    </xf>
    <xf numFmtId="0" fontId="4" fillId="0" borderId="6" xfId="0" applyFont="1" applyBorder="1" applyAlignment="1">
      <alignment horizontal="right" vertical="center"/>
    </xf>
    <xf numFmtId="0" fontId="4" fillId="3" borderId="37" xfId="3" applyFont="1" applyFill="1" applyBorder="1" applyAlignment="1">
      <alignment horizontal="left" vertical="center"/>
    </xf>
    <xf numFmtId="0" fontId="4" fillId="3" borderId="28" xfId="3" applyFont="1" applyFill="1" applyBorder="1" applyAlignment="1">
      <alignment horizontal="left" vertical="center"/>
    </xf>
    <xf numFmtId="164" fontId="4" fillId="0" borderId="0" xfId="3" applyNumberFormat="1" applyFont="1" applyAlignment="1">
      <alignment horizontal="center" vertical="center" wrapText="1"/>
    </xf>
    <xf numFmtId="164" fontId="4" fillId="0" borderId="23" xfId="3" applyNumberFormat="1" applyFont="1" applyBorder="1" applyAlignment="1">
      <alignment horizontal="center" vertical="center" wrapText="1"/>
    </xf>
    <xf numFmtId="0" fontId="5" fillId="3" borderId="0" xfId="3" applyFont="1" applyFill="1" applyAlignment="1">
      <alignment horizontal="center" vertical="center" wrapText="1"/>
    </xf>
    <xf numFmtId="0" fontId="4" fillId="0" borderId="12" xfId="3" applyFont="1" applyBorder="1" applyAlignment="1">
      <alignment horizontal="left" vertical="top" wrapText="1"/>
    </xf>
    <xf numFmtId="164" fontId="4" fillId="0" borderId="3" xfId="3" applyNumberFormat="1" applyFont="1" applyBorder="1" applyAlignment="1">
      <alignment horizontal="center" vertical="center" wrapText="1"/>
    </xf>
    <xf numFmtId="164" fontId="4" fillId="0" borderId="4" xfId="3" applyNumberFormat="1" applyFont="1" applyBorder="1" applyAlignment="1">
      <alignment horizontal="center" vertical="center" wrapText="1"/>
    </xf>
    <xf numFmtId="0" fontId="5" fillId="0" borderId="0" xfId="3" applyFont="1" applyAlignment="1">
      <alignment horizontal="left"/>
    </xf>
    <xf numFmtId="0" fontId="1" fillId="0" borderId="0" xfId="0" applyFont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1" fillId="2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2" borderId="0" xfId="3" applyFill="1" applyAlignment="1">
      <alignment horizontal="center"/>
    </xf>
    <xf numFmtId="0" fontId="1" fillId="0" borderId="0" xfId="3" applyAlignment="1">
      <alignment horizontal="center" vertical="center" textRotation="90"/>
    </xf>
    <xf numFmtId="0" fontId="12" fillId="0" borderId="0" xfId="3" applyFont="1" applyAlignment="1">
      <alignment horizontal="center" vertical="center"/>
    </xf>
    <xf numFmtId="0" fontId="1" fillId="2" borderId="1" xfId="3" applyFill="1" applyBorder="1" applyAlignment="1">
      <alignment horizontal="center" vertical="center"/>
    </xf>
    <xf numFmtId="166" fontId="13" fillId="0" borderId="20" xfId="0" applyNumberFormat="1" applyFont="1" applyBorder="1" applyAlignment="1">
      <alignment horizontal="left" vertical="top"/>
    </xf>
    <xf numFmtId="166" fontId="5" fillId="0" borderId="0" xfId="0" applyNumberFormat="1" applyFont="1"/>
    <xf numFmtId="166" fontId="4" fillId="0" borderId="0" xfId="0" applyNumberFormat="1" applyFont="1" applyAlignment="1">
      <alignment vertical="center"/>
    </xf>
    <xf numFmtId="166" fontId="5" fillId="4" borderId="3" xfId="0" applyNumberFormat="1" applyFont="1" applyFill="1" applyBorder="1" applyAlignment="1">
      <alignment vertical="center"/>
    </xf>
    <xf numFmtId="166" fontId="4" fillId="0" borderId="3" xfId="0" applyNumberFormat="1" applyFont="1" applyBorder="1"/>
    <xf numFmtId="166" fontId="4" fillId="0" borderId="0" xfId="0" applyNumberFormat="1" applyFont="1"/>
    <xf numFmtId="166" fontId="4" fillId="0" borderId="1" xfId="0" applyNumberFormat="1" applyFont="1" applyBorder="1"/>
    <xf numFmtId="166" fontId="4" fillId="0" borderId="56" xfId="0" applyNumberFormat="1" applyFont="1" applyBorder="1" applyAlignment="1">
      <alignment horizontal="right" vertical="center"/>
    </xf>
    <xf numFmtId="166" fontId="4" fillId="0" borderId="3" xfId="0" applyNumberFormat="1" applyFont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6" fontId="4" fillId="0" borderId="1" xfId="0" applyNumberFormat="1" applyFont="1" applyBorder="1" applyAlignment="1">
      <alignment horizontal="center" vertical="center"/>
    </xf>
    <xf numFmtId="166" fontId="4" fillId="0" borderId="42" xfId="0" applyNumberFormat="1" applyFont="1" applyBorder="1" applyAlignment="1">
      <alignment horizontal="right" vertical="center"/>
    </xf>
    <xf numFmtId="166" fontId="4" fillId="0" borderId="26" xfId="0" applyNumberFormat="1" applyFont="1" applyBorder="1" applyAlignment="1">
      <alignment vertical="center" wrapText="1"/>
    </xf>
    <xf numFmtId="166" fontId="4" fillId="0" borderId="8" xfId="3" applyNumberFormat="1" applyFont="1" applyBorder="1" applyAlignment="1">
      <alignment horizontal="left" vertical="top" wrapText="1"/>
    </xf>
    <xf numFmtId="166" fontId="5" fillId="4" borderId="12" xfId="0" applyNumberFormat="1" applyFont="1" applyFill="1" applyBorder="1" applyAlignment="1">
      <alignment horizontal="center" vertical="center"/>
    </xf>
    <xf numFmtId="166" fontId="4" fillId="0" borderId="2" xfId="3" applyNumberFormat="1" applyFont="1" applyBorder="1" applyAlignment="1">
      <alignment horizontal="center" vertical="center" wrapText="1"/>
    </xf>
    <xf numFmtId="166" fontId="4" fillId="0" borderId="4" xfId="3" applyNumberFormat="1" applyFont="1" applyBorder="1" applyAlignment="1">
      <alignment horizontal="center" vertical="center" wrapText="1"/>
    </xf>
    <xf numFmtId="166" fontId="4" fillId="0" borderId="3" xfId="3" applyNumberFormat="1" applyFont="1" applyBorder="1" applyAlignment="1">
      <alignment horizontal="center" vertical="center" wrapText="1"/>
    </xf>
    <xf numFmtId="166" fontId="4" fillId="0" borderId="6" xfId="3" applyNumberFormat="1" applyFont="1" applyBorder="1" applyAlignment="1">
      <alignment horizontal="center" vertical="center" wrapText="1"/>
    </xf>
    <xf numFmtId="166" fontId="4" fillId="0" borderId="23" xfId="3" applyNumberFormat="1" applyFont="1" applyBorder="1" applyAlignment="1">
      <alignment horizontal="center" vertical="center" wrapText="1"/>
    </xf>
    <xf numFmtId="166" fontId="4" fillId="0" borderId="0" xfId="3" applyNumberFormat="1" applyFont="1" applyAlignment="1">
      <alignment horizontal="center" vertical="center" wrapText="1"/>
    </xf>
    <xf numFmtId="166" fontId="4" fillId="0" borderId="5" xfId="3" applyNumberFormat="1" applyFont="1" applyBorder="1" applyAlignment="1">
      <alignment horizontal="center" vertical="center" wrapText="1"/>
    </xf>
    <xf numFmtId="166" fontId="4" fillId="0" borderId="24" xfId="3" applyNumberFormat="1" applyFont="1" applyBorder="1" applyAlignment="1">
      <alignment horizontal="center" vertical="center" wrapText="1"/>
    </xf>
    <xf numFmtId="166" fontId="4" fillId="0" borderId="1" xfId="3" applyNumberFormat="1" applyFont="1" applyBorder="1" applyAlignment="1">
      <alignment horizontal="center" vertical="center" wrapText="1"/>
    </xf>
    <xf numFmtId="166" fontId="4" fillId="0" borderId="3" xfId="3" applyNumberFormat="1" applyFont="1" applyBorder="1" applyAlignment="1">
      <alignment horizontal="left" vertical="center" wrapText="1"/>
    </xf>
    <xf numFmtId="166" fontId="4" fillId="0" borderId="12" xfId="0" applyNumberFormat="1" applyFont="1" applyBorder="1" applyAlignment="1">
      <alignment horizontal="center" vertical="center"/>
    </xf>
    <xf numFmtId="166" fontId="9" fillId="0" borderId="8" xfId="3" applyNumberFormat="1" applyFont="1" applyBorder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8" xfId="0" applyNumberFormat="1" applyFont="1" applyBorder="1" applyAlignment="1">
      <alignment horizontal="left" vertical="center" wrapText="1"/>
    </xf>
    <xf numFmtId="166" fontId="5" fillId="0" borderId="8" xfId="0" applyNumberFormat="1" applyFont="1" applyBorder="1" applyAlignment="1">
      <alignment horizontal="left" vertical="center" wrapText="1"/>
    </xf>
    <xf numFmtId="166" fontId="4" fillId="0" borderId="8" xfId="0" applyNumberFormat="1" applyFont="1" applyBorder="1" applyAlignment="1">
      <alignment wrapText="1"/>
    </xf>
    <xf numFmtId="166" fontId="4" fillId="0" borderId="3" xfId="0" applyNumberFormat="1" applyFont="1" applyBorder="1" applyAlignment="1">
      <alignment horizontal="center" wrapText="1"/>
    </xf>
    <xf numFmtId="166" fontId="5" fillId="0" borderId="65" xfId="0" applyNumberFormat="1" applyFont="1" applyBorder="1" applyAlignment="1">
      <alignment horizontal="center"/>
    </xf>
    <xf numFmtId="165" fontId="0" fillId="0" borderId="0" xfId="0" applyNumberFormat="1"/>
    <xf numFmtId="165" fontId="0" fillId="0" borderId="32" xfId="0" applyNumberFormat="1" applyBorder="1"/>
    <xf numFmtId="165" fontId="0" fillId="0" borderId="30" xfId="0" applyNumberFormat="1" applyBorder="1"/>
    <xf numFmtId="165" fontId="0" fillId="0" borderId="1" xfId="0" applyNumberFormat="1" applyBorder="1"/>
    <xf numFmtId="165" fontId="0" fillId="0" borderId="3" xfId="0" applyNumberFormat="1" applyBorder="1"/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/>
    <xf numFmtId="166" fontId="12" fillId="0" borderId="0" xfId="0" applyNumberFormat="1" applyFont="1" applyAlignment="1">
      <alignment horizontal="center" vertical="center"/>
    </xf>
    <xf numFmtId="165" fontId="0" fillId="2" borderId="0" xfId="0" applyNumberFormat="1" applyFill="1"/>
    <xf numFmtId="165" fontId="0" fillId="2" borderId="0" xfId="0" applyNumberFormat="1" applyFill="1" applyAlignment="1">
      <alignment horizontal="center"/>
    </xf>
    <xf numFmtId="165" fontId="1" fillId="0" borderId="0" xfId="0" applyNumberFormat="1" applyFont="1"/>
    <xf numFmtId="165" fontId="1" fillId="0" borderId="0" xfId="3" applyNumberFormat="1"/>
    <xf numFmtId="165" fontId="1" fillId="9" borderId="0" xfId="3" applyNumberFormat="1" applyFill="1"/>
    <xf numFmtId="165" fontId="1" fillId="10" borderId="0" xfId="3" applyNumberFormat="1" applyFill="1" applyAlignment="1">
      <alignment horizontal="center" vertical="center"/>
    </xf>
    <xf numFmtId="165" fontId="1" fillId="0" borderId="0" xfId="3" applyNumberFormat="1" applyAlignment="1">
      <alignment horizontal="center" vertical="center"/>
    </xf>
    <xf numFmtId="165" fontId="1" fillId="0" borderId="0" xfId="3" applyNumberFormat="1" applyAlignment="1">
      <alignment vertical="center"/>
    </xf>
    <xf numFmtId="165" fontId="1" fillId="9" borderId="30" xfId="3" applyNumberFormat="1" applyFill="1" applyBorder="1"/>
    <xf numFmtId="165" fontId="1" fillId="0" borderId="30" xfId="3" applyNumberFormat="1" applyBorder="1" applyAlignment="1">
      <alignment vertical="center"/>
    </xf>
    <xf numFmtId="165" fontId="1" fillId="10" borderId="0" xfId="3" applyNumberFormat="1" applyFill="1" applyAlignment="1">
      <alignment vertical="center"/>
    </xf>
    <xf numFmtId="165" fontId="1" fillId="9" borderId="32" xfId="3" applyNumberFormat="1" applyFill="1" applyBorder="1"/>
    <xf numFmtId="165" fontId="0" fillId="9" borderId="32" xfId="0" applyNumberFormat="1" applyFill="1" applyBorder="1"/>
    <xf numFmtId="165" fontId="1" fillId="0" borderId="32" xfId="3" applyNumberFormat="1" applyBorder="1"/>
    <xf numFmtId="165" fontId="0" fillId="9" borderId="0" xfId="0" applyNumberFormat="1" applyFill="1"/>
    <xf numFmtId="165" fontId="1" fillId="9" borderId="0" xfId="3" applyNumberFormat="1" applyFill="1" applyAlignment="1">
      <alignment horizontal="center"/>
    </xf>
    <xf numFmtId="165" fontId="1" fillId="2" borderId="0" xfId="3" applyNumberFormat="1" applyFill="1"/>
    <xf numFmtId="165" fontId="1" fillId="2" borderId="0" xfId="3" applyNumberFormat="1" applyFill="1" applyAlignment="1">
      <alignment horizontal="center"/>
    </xf>
    <xf numFmtId="165" fontId="1" fillId="0" borderId="0" xfId="3" applyNumberFormat="1" applyAlignment="1">
      <alignment horizontal="center"/>
    </xf>
    <xf numFmtId="0" fontId="0" fillId="0" borderId="0" xfId="0"/>
    <xf numFmtId="0" fontId="19" fillId="0" borderId="9" xfId="0" applyFont="1" applyBorder="1" applyAlignment="1">
      <alignment horizontal="left" wrapText="1"/>
    </xf>
    <xf numFmtId="0" fontId="0" fillId="0" borderId="8" xfId="0" applyBorder="1"/>
    <xf numFmtId="0" fontId="0" fillId="0" borderId="9" xfId="0" applyBorder="1"/>
    <xf numFmtId="0" fontId="19" fillId="0" borderId="7" xfId="0" applyFont="1" applyBorder="1" applyAlignment="1">
      <alignment horizontal="center" vertical="center" wrapText="1"/>
    </xf>
    <xf numFmtId="0" fontId="0" fillId="0" borderId="6" xfId="0" applyBorder="1"/>
    <xf numFmtId="0" fontId="0" fillId="0" borderId="5" xfId="0" applyBorder="1"/>
    <xf numFmtId="0" fontId="19" fillId="0" borderId="12" xfId="0" applyFont="1" applyBorder="1" applyAlignment="1">
      <alignment horizontal="center" wrapText="1"/>
    </xf>
    <xf numFmtId="0" fontId="0" fillId="0" borderId="21" xfId="0" applyBorder="1"/>
    <xf numFmtId="0" fontId="0" fillId="0" borderId="11" xfId="0" applyBorder="1"/>
    <xf numFmtId="0" fontId="19" fillId="0" borderId="24" xfId="0" applyFont="1" applyBorder="1" applyAlignment="1">
      <alignment horizontal="center"/>
    </xf>
    <xf numFmtId="0" fontId="0" fillId="0" borderId="1" xfId="0" applyBorder="1"/>
    <xf numFmtId="0" fontId="0" fillId="0" borderId="24" xfId="0" applyBorder="1"/>
    <xf numFmtId="0" fontId="19" fillId="4" borderId="9" xfId="0" applyFont="1" applyFill="1" applyBorder="1" applyAlignment="1">
      <alignment horizontal="center"/>
    </xf>
    <xf numFmtId="0" fontId="19" fillId="0" borderId="12" xfId="0" applyFont="1" applyBorder="1" applyAlignment="1">
      <alignment horizontal="left" wrapText="1"/>
    </xf>
    <xf numFmtId="0" fontId="10" fillId="2" borderId="7" xfId="0" applyFont="1" applyFill="1" applyBorder="1" applyAlignment="1">
      <alignment horizontal="center" vertical="center"/>
    </xf>
    <xf numFmtId="0" fontId="19" fillId="0" borderId="23" xfId="0" applyFont="1" applyBorder="1" applyAlignment="1">
      <alignment horizontal="left" vertical="center"/>
    </xf>
    <xf numFmtId="0" fontId="19" fillId="0" borderId="0" xfId="0" applyFont="1"/>
    <xf numFmtId="0" fontId="0" fillId="0" borderId="23" xfId="0" applyBorder="1"/>
    <xf numFmtId="0" fontId="19" fillId="2" borderId="15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 vertical="center" textRotation="90"/>
    </xf>
    <xf numFmtId="0" fontId="19" fillId="0" borderId="12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1" xfId="0" applyFont="1" applyBorder="1" applyAlignment="1">
      <alignment horizontal="left"/>
    </xf>
    <xf numFmtId="0" fontId="19" fillId="0" borderId="9" xfId="0" applyFont="1" applyBorder="1" applyAlignment="1">
      <alignment horizontal="center"/>
    </xf>
    <xf numFmtId="0" fontId="19" fillId="0" borderId="52" xfId="0" applyFont="1" applyBorder="1" applyAlignment="1">
      <alignment horizontal="right" vertical="center"/>
    </xf>
    <xf numFmtId="49" fontId="19" fillId="0" borderId="8" xfId="0" applyNumberFormat="1" applyFont="1" applyBorder="1" applyAlignment="1">
      <alignment horizontal="left" vertical="center" wrapText="1"/>
    </xf>
    <xf numFmtId="0" fontId="4" fillId="4" borderId="9" xfId="0" applyFont="1" applyFill="1" applyBorder="1" applyAlignment="1">
      <alignment horizontal="left" vertical="center"/>
    </xf>
    <xf numFmtId="0" fontId="0" fillId="0" borderId="3" xfId="0" applyBorder="1"/>
    <xf numFmtId="0" fontId="0" fillId="0" borderId="4" xfId="0" applyBorder="1"/>
    <xf numFmtId="49" fontId="19" fillId="4" borderId="4" xfId="0" applyNumberFormat="1" applyFont="1" applyFill="1" applyBorder="1" applyAlignment="1">
      <alignment horizontal="center"/>
    </xf>
    <xf numFmtId="49" fontId="19" fillId="0" borderId="52" xfId="0" applyNumberFormat="1" applyFont="1" applyBorder="1" applyAlignment="1">
      <alignment horizontal="left" vertical="top" wrapText="1"/>
    </xf>
    <xf numFmtId="49" fontId="19" fillId="0" borderId="9" xfId="0" applyNumberFormat="1" applyFont="1" applyBorder="1" applyAlignment="1">
      <alignment horizontal="center" vertical="center" wrapText="1"/>
    </xf>
    <xf numFmtId="49" fontId="19" fillId="4" borderId="9" xfId="0" applyNumberFormat="1" applyFont="1" applyFill="1" applyBorder="1" applyAlignment="1">
      <alignment horizontal="center"/>
    </xf>
    <xf numFmtId="0" fontId="19" fillId="0" borderId="14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19" fillId="0" borderId="63" xfId="0" applyFont="1" applyBorder="1" applyAlignment="1">
      <alignment horizontal="center" vertical="center" textRotation="90" wrapText="1"/>
    </xf>
    <xf numFmtId="0" fontId="0" fillId="0" borderId="60" xfId="0" applyBorder="1"/>
    <xf numFmtId="0" fontId="0" fillId="0" borderId="69" xfId="0" applyBorder="1"/>
    <xf numFmtId="0" fontId="19" fillId="0" borderId="15" xfId="0" applyFont="1" applyBorder="1" applyAlignment="1">
      <alignment horizontal="left" vertical="center"/>
    </xf>
    <xf numFmtId="0" fontId="0" fillId="0" borderId="51" xfId="0" applyBorder="1"/>
    <xf numFmtId="0" fontId="19" fillId="0" borderId="9" xfId="0" applyFont="1" applyBorder="1" applyAlignment="1">
      <alignment horizontal="center" vertical="center"/>
    </xf>
    <xf numFmtId="49" fontId="19" fillId="0" borderId="12" xfId="0" applyNumberFormat="1" applyFont="1" applyBorder="1" applyAlignment="1">
      <alignment horizontal="center" vertical="center" wrapText="1"/>
    </xf>
    <xf numFmtId="0" fontId="19" fillId="8" borderId="15" xfId="0" applyFont="1" applyFill="1" applyBorder="1" applyAlignment="1">
      <alignment horizontal="center" vertical="center" wrapText="1"/>
    </xf>
    <xf numFmtId="49" fontId="14" fillId="4" borderId="9" xfId="1" applyNumberFormat="1" applyFont="1" applyFill="1" applyBorder="1" applyAlignment="1">
      <alignment horizontal="center" vertical="top"/>
    </xf>
    <xf numFmtId="0" fontId="19" fillId="0" borderId="9" xfId="0" applyFont="1" applyBorder="1" applyAlignment="1">
      <alignment horizontal="left" vertical="center"/>
    </xf>
    <xf numFmtId="49" fontId="13" fillId="4" borderId="9" xfId="1" applyNumberFormat="1" applyFont="1" applyFill="1" applyBorder="1" applyAlignment="1">
      <alignment horizontal="center" vertical="top"/>
    </xf>
    <xf numFmtId="0" fontId="19" fillId="4" borderId="9" xfId="0" applyFont="1" applyFill="1" applyBorder="1" applyAlignment="1">
      <alignment horizontal="center" vertical="top"/>
    </xf>
    <xf numFmtId="0" fontId="19" fillId="4" borderId="9" xfId="0" applyFont="1" applyFill="1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10" fillId="2" borderId="48" xfId="0" applyFont="1" applyFill="1" applyBorder="1" applyAlignment="1">
      <alignment horizontal="center" vertical="center"/>
    </xf>
    <xf numFmtId="0" fontId="0" fillId="0" borderId="31" xfId="0" applyBorder="1"/>
    <xf numFmtId="0" fontId="0" fillId="0" borderId="41" xfId="0" applyBorder="1"/>
    <xf numFmtId="0" fontId="19" fillId="4" borderId="8" xfId="0" applyFont="1" applyFill="1" applyBorder="1" applyAlignment="1">
      <alignment horizontal="center"/>
    </xf>
    <xf numFmtId="0" fontId="19" fillId="0" borderId="52" xfId="0" applyFont="1" applyBorder="1" applyAlignment="1">
      <alignment horizontal="left" vertical="center"/>
    </xf>
    <xf numFmtId="0" fontId="19" fillId="4" borderId="24" xfId="0" applyFont="1" applyFill="1" applyBorder="1" applyAlignment="1">
      <alignment horizontal="center"/>
    </xf>
    <xf numFmtId="0" fontId="19" fillId="4" borderId="12" xfId="0" applyFont="1" applyFill="1" applyBorder="1" applyAlignment="1">
      <alignment horizontal="center" vertical="center"/>
    </xf>
    <xf numFmtId="49" fontId="19" fillId="0" borderId="52" xfId="0" applyNumberFormat="1" applyFont="1" applyBorder="1" applyAlignment="1">
      <alignment horizontal="center" vertical="center" wrapText="1"/>
    </xf>
    <xf numFmtId="0" fontId="0" fillId="0" borderId="53" xfId="0" applyBorder="1"/>
    <xf numFmtId="0" fontId="0" fillId="0" borderId="54" xfId="0" applyBorder="1"/>
    <xf numFmtId="0" fontId="19" fillId="4" borderId="4" xfId="0" applyFont="1" applyFill="1" applyBorder="1" applyAlignment="1">
      <alignment horizontal="center"/>
    </xf>
    <xf numFmtId="0" fontId="19" fillId="0" borderId="12" xfId="0" applyFont="1" applyBorder="1" applyAlignment="1">
      <alignment horizontal="center" vertical="center" wrapText="1"/>
    </xf>
    <xf numFmtId="0" fontId="19" fillId="8" borderId="8" xfId="0" applyFont="1" applyFill="1" applyBorder="1" applyAlignment="1">
      <alignment horizontal="center" vertical="center" wrapText="1"/>
    </xf>
    <xf numFmtId="0" fontId="19" fillId="0" borderId="0" xfId="0" applyFont="1" applyAlignment="1">
      <alignment vertical="center"/>
    </xf>
    <xf numFmtId="0" fontId="19" fillId="0" borderId="4" xfId="0" applyFont="1" applyBorder="1" applyAlignment="1">
      <alignment horizontal="center"/>
    </xf>
    <xf numFmtId="0" fontId="19" fillId="4" borderId="59" xfId="0" applyFont="1" applyFill="1" applyBorder="1" applyAlignment="1">
      <alignment horizontal="center"/>
    </xf>
    <xf numFmtId="0" fontId="0" fillId="0" borderId="58" xfId="0" applyBorder="1"/>
    <xf numFmtId="0" fontId="0" fillId="0" borderId="59" xfId="0" applyBorder="1"/>
    <xf numFmtId="0" fontId="19" fillId="0" borderId="6" xfId="0" applyFont="1" applyBorder="1" applyAlignment="1">
      <alignment horizontal="left" vertical="top"/>
    </xf>
    <xf numFmtId="0" fontId="19" fillId="0" borderId="23" xfId="0" applyFont="1" applyBorder="1"/>
    <xf numFmtId="0" fontId="19" fillId="0" borderId="19" xfId="0" applyFont="1" applyBorder="1" applyAlignment="1">
      <alignment horizontal="left" vertical="center"/>
    </xf>
    <xf numFmtId="0" fontId="0" fillId="0" borderId="17" xfId="0" applyBorder="1"/>
    <xf numFmtId="0" fontId="19" fillId="4" borderId="9" xfId="0" applyFont="1" applyFill="1" applyBorder="1" applyAlignment="1">
      <alignment horizontal="left" vertical="top"/>
    </xf>
    <xf numFmtId="49" fontId="19" fillId="0" borderId="52" xfId="0" applyNumberFormat="1" applyFont="1" applyBorder="1" applyAlignment="1">
      <alignment horizontal="center" vertical="top" wrapText="1"/>
    </xf>
    <xf numFmtId="0" fontId="19" fillId="14" borderId="51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/>
    </xf>
    <xf numFmtId="0" fontId="0" fillId="0" borderId="0" xfId="0"/>
    <xf numFmtId="0" fontId="13" fillId="10" borderId="0" xfId="3" applyFont="1" applyFill="1" applyAlignment="1">
      <alignment horizontal="center"/>
    </xf>
    <xf numFmtId="0" fontId="13" fillId="0" borderId="0" xfId="0" applyFont="1"/>
    <xf numFmtId="0" fontId="16" fillId="2" borderId="17" xfId="0" applyFont="1" applyFill="1" applyBorder="1" applyAlignment="1">
      <alignment horizontal="center" vertical="center" wrapText="1"/>
    </xf>
    <xf numFmtId="0" fontId="13" fillId="0" borderId="17" xfId="0" applyFont="1" applyBorder="1" applyAlignment="1">
      <alignment horizontal="right" vertical="center" wrapText="1"/>
    </xf>
    <xf numFmtId="0" fontId="16" fillId="2" borderId="48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right" vertical="center"/>
    </xf>
    <xf numFmtId="0" fontId="16" fillId="2" borderId="70" xfId="0" applyFont="1" applyFill="1" applyBorder="1" applyAlignment="1">
      <alignment horizontal="center" vertical="center"/>
    </xf>
    <xf numFmtId="0" fontId="15" fillId="4" borderId="60" xfId="0" applyFont="1" applyFill="1" applyBorder="1" applyAlignment="1">
      <alignment horizontal="center" vertical="top"/>
    </xf>
    <xf numFmtId="0" fontId="13" fillId="0" borderId="17" xfId="0" applyFont="1" applyBorder="1" applyAlignment="1">
      <alignment horizontal="center" vertical="center"/>
    </xf>
    <xf numFmtId="0" fontId="16" fillId="2" borderId="70" xfId="3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top"/>
    </xf>
    <xf numFmtId="0" fontId="16" fillId="2" borderId="63" xfId="0" applyFont="1" applyFill="1" applyBorder="1" applyAlignment="1">
      <alignment horizontal="center" vertical="center"/>
    </xf>
    <xf numFmtId="0" fontId="0" fillId="0" borderId="16" xfId="0" applyBorder="1"/>
    <xf numFmtId="0" fontId="15" fillId="0" borderId="17" xfId="0" applyFont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3" fillId="4" borderId="9" xfId="0" applyFont="1" applyFill="1" applyBorder="1" applyAlignment="1">
      <alignment horizontal="center" vertical="top" wrapText="1"/>
    </xf>
    <xf numFmtId="0" fontId="16" fillId="2" borderId="40" xfId="3" applyFont="1" applyFill="1" applyBorder="1" applyAlignment="1">
      <alignment horizontal="center" vertical="center"/>
    </xf>
    <xf numFmtId="0" fontId="13" fillId="17" borderId="71" xfId="0" applyFont="1" applyFill="1" applyBorder="1" applyAlignment="1">
      <alignment horizontal="center" vertical="center"/>
    </xf>
    <xf numFmtId="0" fontId="15" fillId="17" borderId="73" xfId="0" applyFont="1" applyFill="1" applyBorder="1" applyAlignment="1">
      <alignment horizontal="center" vertical="center"/>
    </xf>
    <xf numFmtId="0" fontId="0" fillId="0" borderId="18" xfId="0" applyBorder="1"/>
    <xf numFmtId="0" fontId="13" fillId="0" borderId="7" xfId="0" applyFont="1" applyBorder="1" applyAlignment="1">
      <alignment horizontal="center" vertical="center"/>
    </xf>
    <xf numFmtId="0" fontId="13" fillId="3" borderId="72" xfId="0" applyFont="1" applyFill="1" applyBorder="1" applyAlignment="1">
      <alignment horizontal="left" vertical="center" wrapText="1"/>
    </xf>
    <xf numFmtId="0" fontId="0" fillId="0" borderId="22" xfId="0" applyBorder="1"/>
    <xf numFmtId="0" fontId="15" fillId="0" borderId="53" xfId="0" applyFont="1" applyBorder="1" applyAlignment="1">
      <alignment horizontal="center" vertical="center" wrapText="1"/>
    </xf>
    <xf numFmtId="0" fontId="5" fillId="3" borderId="24" xfId="0" applyFont="1" applyFill="1" applyBorder="1" applyAlignment="1">
      <alignment horizontal="right" vertical="center"/>
    </xf>
    <xf numFmtId="0" fontId="4" fillId="0" borderId="6" xfId="0" applyFont="1" applyBorder="1" applyAlignment="1">
      <alignment horizontal="center" wrapText="1"/>
    </xf>
    <xf numFmtId="0" fontId="5" fillId="0" borderId="0" xfId="0" applyFont="1"/>
    <xf numFmtId="0" fontId="4" fillId="6" borderId="12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left"/>
    </xf>
    <xf numFmtId="0" fontId="4" fillId="0" borderId="5" xfId="0" applyFont="1" applyBorder="1" applyAlignment="1">
      <alignment horizontal="center" wrapText="1"/>
    </xf>
    <xf numFmtId="0" fontId="4" fillId="0" borderId="25" xfId="0" applyFont="1" applyBorder="1" applyAlignment="1">
      <alignment horizontal="left" vertical="center"/>
    </xf>
    <xf numFmtId="0" fontId="0" fillId="0" borderId="26" xfId="0" applyBorder="1"/>
    <xf numFmtId="0" fontId="5" fillId="0" borderId="23" xfId="0" applyFont="1" applyBorder="1" applyAlignment="1">
      <alignment horizontal="right"/>
    </xf>
    <xf numFmtId="166" fontId="5" fillId="0" borderId="0" xfId="0" applyNumberFormat="1" applyFont="1"/>
    <xf numFmtId="166" fontId="4" fillId="0" borderId="24" xfId="3" applyNumberFormat="1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left" vertical="center" wrapText="1"/>
    </xf>
    <xf numFmtId="0" fontId="0" fillId="0" borderId="27" xfId="0" applyBorder="1"/>
    <xf numFmtId="0" fontId="0" fillId="0" borderId="36" xfId="0" applyBorder="1"/>
    <xf numFmtId="0" fontId="5" fillId="0" borderId="6" xfId="0" applyFont="1" applyBorder="1" applyAlignment="1">
      <alignment horizontal="left"/>
    </xf>
    <xf numFmtId="0" fontId="4" fillId="0" borderId="44" xfId="0" applyFont="1" applyBorder="1" applyAlignment="1">
      <alignment horizontal="right" vertical="center"/>
    </xf>
    <xf numFmtId="0" fontId="0" fillId="0" borderId="28" xfId="0" applyBorder="1"/>
    <xf numFmtId="0" fontId="5" fillId="0" borderId="78" xfId="1" applyFont="1" applyBorder="1" applyAlignment="1">
      <alignment horizontal="left" vertical="center"/>
    </xf>
    <xf numFmtId="166" fontId="5" fillId="0" borderId="23" xfId="0" applyNumberFormat="1" applyFont="1" applyBorder="1" applyAlignment="1">
      <alignment horizontal="right"/>
    </xf>
    <xf numFmtId="0" fontId="5" fillId="4" borderId="7" xfId="0" applyFont="1" applyFill="1" applyBorder="1" applyAlignment="1">
      <alignment horizontal="center" vertical="center"/>
    </xf>
    <xf numFmtId="0" fontId="4" fillId="0" borderId="34" xfId="0" applyFont="1" applyBorder="1" applyAlignment="1">
      <alignment horizontal="left"/>
    </xf>
    <xf numFmtId="0" fontId="0" fillId="0" borderId="75" xfId="0" applyBorder="1"/>
    <xf numFmtId="0" fontId="4" fillId="0" borderId="45" xfId="0" applyFont="1" applyBorder="1" applyAlignment="1">
      <alignment horizontal="right" vertical="center"/>
    </xf>
    <xf numFmtId="0" fontId="0" fillId="0" borderId="42" xfId="0" applyBorder="1"/>
    <xf numFmtId="0" fontId="5" fillId="4" borderId="12" xfId="0" applyFont="1" applyFill="1" applyBorder="1" applyAlignment="1">
      <alignment horizontal="center" vertical="center"/>
    </xf>
    <xf numFmtId="0" fontId="4" fillId="0" borderId="12" xfId="3" applyFont="1" applyBorder="1" applyAlignment="1">
      <alignment horizontal="left" wrapText="1"/>
    </xf>
    <xf numFmtId="0" fontId="4" fillId="0" borderId="5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left" vertical="top" wrapText="1"/>
    </xf>
    <xf numFmtId="164" fontId="4" fillId="0" borderId="4" xfId="0" applyNumberFormat="1" applyFont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center" vertical="center"/>
    </xf>
    <xf numFmtId="164" fontId="4" fillId="0" borderId="24" xfId="3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166" fontId="4" fillId="0" borderId="4" xfId="3" applyNumberFormat="1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5" fillId="6" borderId="10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/>
    </xf>
    <xf numFmtId="0" fontId="4" fillId="0" borderId="9" xfId="3" applyFont="1" applyBorder="1" applyAlignment="1">
      <alignment horizontal="left" vertical="center" wrapText="1"/>
    </xf>
    <xf numFmtId="0" fontId="4" fillId="4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Alignment="1">
      <alignment horizontal="center" wrapText="1"/>
    </xf>
    <xf numFmtId="0" fontId="4" fillId="0" borderId="12" xfId="3" applyFont="1" applyBorder="1" applyAlignment="1">
      <alignment horizontal="center" vertical="top" wrapText="1"/>
    </xf>
    <xf numFmtId="0" fontId="4" fillId="6" borderId="12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5" fillId="0" borderId="11" xfId="0" applyFont="1" applyBorder="1" applyAlignment="1">
      <alignment horizontal="left" vertical="center"/>
    </xf>
    <xf numFmtId="0" fontId="5" fillId="3" borderId="6" xfId="0" applyFont="1" applyFill="1" applyBorder="1" applyAlignment="1">
      <alignment horizontal="left" vertical="center"/>
    </xf>
    <xf numFmtId="0" fontId="4" fillId="0" borderId="7" xfId="0" applyFont="1" applyBorder="1" applyAlignment="1">
      <alignment horizontal="center" wrapText="1"/>
    </xf>
    <xf numFmtId="164" fontId="4" fillId="0" borderId="11" xfId="0" applyNumberFormat="1" applyFont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6" borderId="9" xfId="0" applyFont="1" applyFill="1" applyBorder="1" applyAlignment="1">
      <alignment horizontal="left" vertical="center" wrapText="1"/>
    </xf>
    <xf numFmtId="0" fontId="4" fillId="0" borderId="21" xfId="0" applyFont="1" applyBorder="1" applyAlignment="1">
      <alignment horizontal="center" wrapText="1"/>
    </xf>
    <xf numFmtId="0" fontId="5" fillId="0" borderId="76" xfId="0" applyFont="1" applyBorder="1" applyAlignment="1">
      <alignment horizontal="center" vertical="center"/>
    </xf>
    <xf numFmtId="0" fontId="0" fillId="0" borderId="77" xfId="0" applyBorder="1"/>
    <xf numFmtId="0" fontId="4" fillId="0" borderId="24" xfId="0" applyFont="1" applyBorder="1" applyAlignment="1">
      <alignment horizontal="left" vertical="center" wrapText="1"/>
    </xf>
    <xf numFmtId="166" fontId="4" fillId="0" borderId="23" xfId="3" applyNumberFormat="1" applyFont="1" applyBorder="1" applyAlignment="1">
      <alignment horizontal="center" vertical="center" wrapText="1"/>
    </xf>
    <xf numFmtId="164" fontId="4" fillId="0" borderId="12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4" fillId="0" borderId="12" xfId="3" applyFont="1" applyBorder="1" applyAlignment="1">
      <alignment horizontal="center"/>
    </xf>
    <xf numFmtId="166" fontId="27" fillId="2" borderId="2" xfId="0" applyNumberFormat="1" applyFont="1" applyFill="1" applyBorder="1" applyAlignment="1">
      <alignment horizontal="left"/>
    </xf>
    <xf numFmtId="0" fontId="4" fillId="3" borderId="26" xfId="0" applyFont="1" applyFill="1" applyBorder="1" applyAlignment="1">
      <alignment horizontal="left"/>
    </xf>
    <xf numFmtId="164" fontId="9" fillId="0" borderId="12" xfId="3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14" fontId="4" fillId="0" borderId="23" xfId="2" applyNumberFormat="1" applyFont="1" applyBorder="1" applyAlignment="1">
      <alignment horizontal="right"/>
    </xf>
    <xf numFmtId="0" fontId="4" fillId="0" borderId="64" xfId="0" applyFont="1" applyBorder="1" applyAlignment="1">
      <alignment horizontal="right" vertical="center"/>
    </xf>
    <xf numFmtId="0" fontId="0" fillId="0" borderId="56" xfId="0" applyBorder="1"/>
    <xf numFmtId="0" fontId="4" fillId="0" borderId="9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/>
    </xf>
    <xf numFmtId="2" fontId="4" fillId="0" borderId="4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55" xfId="0" applyFont="1" applyBorder="1" applyAlignment="1">
      <alignment horizontal="left" vertical="center"/>
    </xf>
    <xf numFmtId="0" fontId="4" fillId="0" borderId="35" xfId="0" applyFont="1" applyBorder="1" applyAlignment="1">
      <alignment horizontal="left" vertical="center" wrapText="1"/>
    </xf>
    <xf numFmtId="0" fontId="0" fillId="0" borderId="35" xfId="0" applyBorder="1"/>
    <xf numFmtId="0" fontId="4" fillId="0" borderId="43" xfId="0" applyFont="1" applyBorder="1" applyAlignment="1">
      <alignment horizontal="left" vertical="center"/>
    </xf>
    <xf numFmtId="0" fontId="0" fillId="0" borderId="43" xfId="0" applyBorder="1"/>
    <xf numFmtId="164" fontId="4" fillId="0" borderId="1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5" fillId="3" borderId="0" xfId="1" applyFont="1" applyFill="1" applyAlignment="1">
      <alignment horizontal="left"/>
    </xf>
    <xf numFmtId="0" fontId="3" fillId="2" borderId="12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wrapText="1"/>
    </xf>
    <xf numFmtId="168" fontId="4" fillId="0" borderId="43" xfId="2" applyNumberFormat="1" applyFont="1" applyBorder="1" applyAlignment="1">
      <alignment horizontal="right"/>
    </xf>
    <xf numFmtId="0" fontId="4" fillId="0" borderId="35" xfId="2" applyFont="1" applyBorder="1" applyAlignment="1">
      <alignment horizontal="right"/>
    </xf>
    <xf numFmtId="0" fontId="5" fillId="0" borderId="6" xfId="1" applyFont="1" applyBorder="1" applyAlignment="1">
      <alignment horizontal="left"/>
    </xf>
    <xf numFmtId="0" fontId="7" fillId="0" borderId="6" xfId="1" applyFont="1" applyBorder="1" applyAlignment="1">
      <alignment horizontal="left"/>
    </xf>
    <xf numFmtId="0" fontId="4" fillId="4" borderId="12" xfId="0" applyFont="1" applyFill="1" applyBorder="1" applyAlignment="1">
      <alignment horizontal="center"/>
    </xf>
    <xf numFmtId="0" fontId="5" fillId="0" borderId="42" xfId="0" applyFont="1" applyBorder="1" applyAlignment="1">
      <alignment horizontal="left"/>
    </xf>
    <xf numFmtId="0" fontId="28" fillId="3" borderId="0" xfId="0" applyFont="1" applyFill="1" applyAlignment="1">
      <alignment horizontal="left"/>
    </xf>
    <xf numFmtId="0" fontId="4" fillId="0" borderId="1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5" fillId="3" borderId="24" xfId="0" applyFont="1" applyFill="1" applyBorder="1" applyAlignment="1">
      <alignment horizontal="center" vertical="center" wrapText="1"/>
    </xf>
    <xf numFmtId="0" fontId="4" fillId="6" borderId="11" xfId="0" applyFont="1" applyFill="1" applyBorder="1" applyAlignment="1">
      <alignment horizontal="left" vertical="center" wrapText="1"/>
    </xf>
    <xf numFmtId="0" fontId="5" fillId="6" borderId="12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wrapText="1"/>
    </xf>
    <xf numFmtId="0" fontId="4" fillId="0" borderId="12" xfId="3" applyFont="1" applyBorder="1" applyAlignment="1">
      <alignment horizontal="left"/>
    </xf>
    <xf numFmtId="0" fontId="4" fillId="0" borderId="5" xfId="3" applyFont="1" applyBorder="1" applyAlignment="1">
      <alignment horizontal="left" vertical="center" wrapText="1"/>
    </xf>
    <xf numFmtId="0" fontId="5" fillId="0" borderId="2" xfId="0" applyFont="1" applyBorder="1" applyAlignment="1">
      <alignment horizontal="center" wrapText="1"/>
    </xf>
    <xf numFmtId="2" fontId="4" fillId="0" borderId="24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0" fontId="4" fillId="0" borderId="12" xfId="3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3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/>
    </xf>
    <xf numFmtId="0" fontId="4" fillId="3" borderId="12" xfId="0" applyFont="1" applyFill="1" applyBorder="1" applyAlignment="1">
      <alignment horizontal="center" vertical="center"/>
    </xf>
    <xf numFmtId="0" fontId="4" fillId="0" borderId="29" xfId="0" applyFont="1" applyBorder="1" applyAlignment="1">
      <alignment horizontal="left" vertical="center"/>
    </xf>
    <xf numFmtId="0" fontId="0" fillId="0" borderId="29" xfId="0" applyBorder="1"/>
    <xf numFmtId="0" fontId="5" fillId="0" borderId="74" xfId="0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4" xfId="0" applyNumberFormat="1" applyFont="1" applyBorder="1" applyAlignment="1">
      <alignment horizontal="center" vertical="center" wrapText="1"/>
    </xf>
    <xf numFmtId="49" fontId="4" fillId="3" borderId="74" xfId="0" applyNumberFormat="1" applyFont="1" applyFill="1" applyBorder="1" applyAlignment="1">
      <alignment horizontal="center" vertical="center"/>
    </xf>
    <xf numFmtId="0" fontId="4" fillId="6" borderId="10" xfId="0" applyFont="1" applyFill="1" applyBorder="1" applyAlignment="1">
      <alignment horizontal="left" vertical="center" wrapText="1"/>
    </xf>
    <xf numFmtId="0" fontId="4" fillId="0" borderId="10" xfId="3" applyFont="1" applyBorder="1" applyAlignment="1">
      <alignment horizontal="center" vertical="center" wrapText="1"/>
    </xf>
    <xf numFmtId="0" fontId="4" fillId="0" borderId="24" xfId="0" applyFont="1" applyBorder="1" applyAlignment="1">
      <alignment horizontal="left" vertical="top" wrapText="1"/>
    </xf>
    <xf numFmtId="164" fontId="4" fillId="0" borderId="0" xfId="0" applyNumberFormat="1" applyFont="1" applyAlignment="1">
      <alignment horizontal="center" vertical="center"/>
    </xf>
    <xf numFmtId="0" fontId="4" fillId="0" borderId="11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/>
    </xf>
    <xf numFmtId="0" fontId="4" fillId="0" borderId="9" xfId="3" applyFont="1" applyBorder="1" applyAlignment="1">
      <alignment horizontal="center" vertical="center" wrapText="1"/>
    </xf>
    <xf numFmtId="166" fontId="27" fillId="2" borderId="21" xfId="0" applyNumberFormat="1" applyFont="1" applyFill="1" applyBorder="1" applyAlignment="1">
      <alignment horizontal="left"/>
    </xf>
    <xf numFmtId="0" fontId="4" fillId="0" borderId="6" xfId="0" applyFont="1" applyBorder="1" applyAlignment="1">
      <alignment horizontal="center"/>
    </xf>
    <xf numFmtId="0" fontId="5" fillId="3" borderId="21" xfId="0" applyFont="1" applyFill="1" applyBorder="1" applyAlignment="1">
      <alignment horizontal="left" vertical="center"/>
    </xf>
    <xf numFmtId="49" fontId="4" fillId="0" borderId="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left"/>
    </xf>
    <xf numFmtId="2" fontId="4" fillId="0" borderId="3" xfId="0" applyNumberFormat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 vertical="top"/>
    </xf>
    <xf numFmtId="2" fontId="4" fillId="0" borderId="1" xfId="0" applyNumberFormat="1" applyFont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34" xfId="0" applyFont="1" applyBorder="1" applyAlignment="1">
      <alignment horizontal="left" vertical="center"/>
    </xf>
    <xf numFmtId="0" fontId="4" fillId="0" borderId="25" xfId="0" applyFont="1" applyBorder="1" applyAlignment="1">
      <alignment horizontal="left" vertical="top"/>
    </xf>
    <xf numFmtId="0" fontId="5" fillId="3" borderId="0" xfId="0" applyFont="1" applyFill="1" applyAlignment="1">
      <alignment horizontal="left"/>
    </xf>
    <xf numFmtId="0" fontId="5" fillId="3" borderId="1" xfId="0" applyFont="1" applyFill="1" applyBorder="1" applyAlignment="1">
      <alignment horizontal="center" vertical="center" wrapText="1"/>
    </xf>
    <xf numFmtId="49" fontId="5" fillId="3" borderId="29" xfId="0" applyNumberFormat="1" applyFont="1" applyFill="1" applyBorder="1" applyAlignment="1">
      <alignment horizontal="right" vertical="center"/>
    </xf>
    <xf numFmtId="0" fontId="4" fillId="0" borderId="62" xfId="0" applyFont="1" applyBorder="1" applyAlignment="1">
      <alignment horizontal="left" vertical="center" wrapText="1"/>
    </xf>
    <xf numFmtId="0" fontId="0" fillId="0" borderId="65" xfId="0" applyBorder="1"/>
    <xf numFmtId="0" fontId="5" fillId="3" borderId="76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0" fontId="4" fillId="0" borderId="23" xfId="0" applyFont="1" applyBorder="1" applyAlignment="1">
      <alignment horizontal="left" vertical="center" wrapText="1"/>
    </xf>
    <xf numFmtId="0" fontId="4" fillId="3" borderId="11" xfId="0" applyFont="1" applyFill="1" applyBorder="1" applyAlignment="1">
      <alignment horizontal="center" vertical="center"/>
    </xf>
    <xf numFmtId="0" fontId="5" fillId="3" borderId="66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left" vertical="center"/>
    </xf>
    <xf numFmtId="0" fontId="5" fillId="3" borderId="2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6" fillId="2" borderId="12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left" vertical="center"/>
    </xf>
    <xf numFmtId="0" fontId="4" fillId="0" borderId="3" xfId="0" applyFont="1" applyBorder="1" applyAlignment="1">
      <alignment horizontal="right" vertical="center"/>
    </xf>
    <xf numFmtId="0" fontId="5" fillId="0" borderId="6" xfId="0" applyFont="1" applyBorder="1" applyAlignment="1">
      <alignment horizontal="left" vertical="center"/>
    </xf>
    <xf numFmtId="0" fontId="5" fillId="0" borderId="3" xfId="0" applyFont="1" applyBorder="1" applyAlignment="1">
      <alignment horizontal="right" vertical="center"/>
    </xf>
    <xf numFmtId="166" fontId="4" fillId="0" borderId="11" xfId="3" applyNumberFormat="1" applyFont="1" applyBorder="1" applyAlignment="1">
      <alignment horizontal="center" vertical="center" wrapText="1"/>
    </xf>
    <xf numFmtId="0" fontId="5" fillId="0" borderId="23" xfId="0" applyFont="1" applyBorder="1" applyAlignment="1">
      <alignment horizontal="center"/>
    </xf>
    <xf numFmtId="2" fontId="5" fillId="0" borderId="4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right" vertical="center"/>
    </xf>
    <xf numFmtId="0" fontId="4" fillId="0" borderId="21" xfId="3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vertical="center" wrapText="1"/>
    </xf>
    <xf numFmtId="0" fontId="4" fillId="0" borderId="6" xfId="0" applyFont="1" applyBorder="1" applyAlignment="1">
      <alignment horizontal="right" vertical="center"/>
    </xf>
    <xf numFmtId="0" fontId="5" fillId="3" borderId="26" xfId="0" applyFont="1" applyFill="1" applyBorder="1" applyAlignment="1">
      <alignment horizontal="left"/>
    </xf>
    <xf numFmtId="0" fontId="5" fillId="3" borderId="23" xfId="0" applyFont="1" applyFill="1" applyBorder="1" applyAlignment="1">
      <alignment horizontal="right" vertical="center"/>
    </xf>
    <xf numFmtId="166" fontId="4" fillId="0" borderId="10" xfId="3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166" fontId="4" fillId="0" borderId="21" xfId="3" applyNumberFormat="1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24" xfId="0" applyFont="1" applyBorder="1" applyAlignment="1">
      <alignment horizontal="right"/>
    </xf>
    <xf numFmtId="0" fontId="4" fillId="0" borderId="6" xfId="0" applyFont="1" applyBorder="1" applyAlignment="1">
      <alignment horizontal="left" vertical="top"/>
    </xf>
    <xf numFmtId="0" fontId="4" fillId="0" borderId="6" xfId="0" applyFont="1" applyBorder="1" applyAlignment="1">
      <alignment horizontal="right" vertical="top"/>
    </xf>
    <xf numFmtId="0" fontId="5" fillId="0" borderId="0" xfId="0" applyFont="1" applyAlignment="1">
      <alignment horizontal="right" vertical="center"/>
    </xf>
    <xf numFmtId="0" fontId="4" fillId="0" borderId="7" xfId="0" applyFont="1" applyBorder="1" applyAlignment="1">
      <alignment horizontal="right" vertical="center" wrapText="1"/>
    </xf>
    <xf numFmtId="0" fontId="3" fillId="3" borderId="11" xfId="0" applyFont="1" applyFill="1" applyBorder="1" applyAlignment="1">
      <alignment horizontal="center" vertical="center"/>
    </xf>
    <xf numFmtId="0" fontId="6" fillId="0" borderId="0" xfId="0" applyFont="1" applyAlignment="1">
      <alignment horizontal="left"/>
    </xf>
    <xf numFmtId="168" fontId="4" fillId="0" borderId="23" xfId="2" applyNumberFormat="1" applyFont="1" applyBorder="1" applyAlignment="1">
      <alignment horizontal="right"/>
    </xf>
    <xf numFmtId="0" fontId="23" fillId="0" borderId="0" xfId="3" applyFont="1"/>
    <xf numFmtId="49" fontId="5" fillId="3" borderId="36" xfId="3" applyNumberFormat="1" applyFont="1" applyFill="1" applyBorder="1" applyAlignment="1">
      <alignment horizontal="right" vertical="center"/>
    </xf>
    <xf numFmtId="0" fontId="5" fillId="4" borderId="12" xfId="3" applyFont="1" applyFill="1" applyBorder="1" applyAlignment="1">
      <alignment horizontal="center" vertical="center"/>
    </xf>
    <xf numFmtId="0" fontId="4" fillId="3" borderId="10" xfId="3" applyFont="1" applyFill="1" applyBorder="1" applyAlignment="1">
      <alignment horizontal="center" vertical="center"/>
    </xf>
    <xf numFmtId="0" fontId="5" fillId="4" borderId="7" xfId="3" applyFont="1" applyFill="1" applyBorder="1" applyAlignment="1">
      <alignment horizontal="center" vertical="center"/>
    </xf>
    <xf numFmtId="0" fontId="4" fillId="3" borderId="68" xfId="3" applyFont="1" applyFill="1" applyBorder="1" applyAlignment="1">
      <alignment horizontal="left" vertical="center"/>
    </xf>
    <xf numFmtId="0" fontId="24" fillId="3" borderId="10" xfId="3" applyFont="1" applyFill="1" applyBorder="1" applyAlignment="1">
      <alignment horizontal="center"/>
    </xf>
    <xf numFmtId="0" fontId="5" fillId="0" borderId="23" xfId="3" applyFont="1" applyBorder="1" applyAlignment="1">
      <alignment horizontal="right"/>
    </xf>
    <xf numFmtId="0" fontId="4" fillId="0" borderId="24" xfId="3" applyFont="1" applyBorder="1" applyAlignment="1">
      <alignment horizontal="center"/>
    </xf>
    <xf numFmtId="0" fontId="4" fillId="3" borderId="37" xfId="3" applyFont="1" applyFill="1" applyBorder="1" applyAlignment="1">
      <alignment vertical="center"/>
    </xf>
    <xf numFmtId="0" fontId="4" fillId="3" borderId="76" xfId="3" applyFont="1" applyFill="1" applyBorder="1" applyAlignment="1">
      <alignment horizontal="left" vertical="center"/>
    </xf>
    <xf numFmtId="0" fontId="10" fillId="2" borderId="12" xfId="3" applyFont="1" applyFill="1" applyBorder="1" applyAlignment="1">
      <alignment horizontal="center" vertical="center"/>
    </xf>
    <xf numFmtId="0" fontId="4" fillId="4" borderId="12" xfId="3" applyFont="1" applyFill="1" applyBorder="1" applyAlignment="1">
      <alignment horizontal="center"/>
    </xf>
    <xf numFmtId="3" fontId="5" fillId="0" borderId="23" xfId="3" applyNumberFormat="1" applyFont="1" applyBorder="1" applyAlignment="1">
      <alignment horizontal="right" vertical="center"/>
    </xf>
    <xf numFmtId="0" fontId="5" fillId="0" borderId="0" xfId="3" applyFont="1" applyAlignment="1">
      <alignment horizontal="left"/>
    </xf>
    <xf numFmtId="0" fontId="5" fillId="6" borderId="2" xfId="3" applyFont="1" applyFill="1" applyBorder="1" applyAlignment="1">
      <alignment horizontal="left" vertical="top" wrapText="1"/>
    </xf>
    <xf numFmtId="0" fontId="4" fillId="3" borderId="1" xfId="3" applyFont="1" applyFill="1" applyBorder="1" applyAlignment="1">
      <alignment horizontal="center" vertical="center" wrapText="1"/>
    </xf>
    <xf numFmtId="0" fontId="5" fillId="3" borderId="3" xfId="3" applyFont="1" applyFill="1" applyBorder="1" applyAlignment="1">
      <alignment horizontal="center" vertical="center" wrapText="1"/>
    </xf>
    <xf numFmtId="164" fontId="4" fillId="0" borderId="23" xfId="3" applyNumberFormat="1" applyFont="1" applyBorder="1" applyAlignment="1">
      <alignment horizontal="center" vertical="center" wrapText="1"/>
    </xf>
    <xf numFmtId="0" fontId="4" fillId="0" borderId="12" xfId="3" applyFont="1" applyBorder="1" applyAlignment="1">
      <alignment horizontal="left" vertical="top" wrapText="1"/>
    </xf>
    <xf numFmtId="0" fontId="5" fillId="0" borderId="6" xfId="3" applyFont="1" applyBorder="1" applyAlignment="1">
      <alignment horizontal="left"/>
    </xf>
    <xf numFmtId="0" fontId="3" fillId="3" borderId="11" xfId="3" applyFont="1" applyFill="1" applyBorder="1" applyAlignment="1">
      <alignment horizontal="center" vertical="center"/>
    </xf>
    <xf numFmtId="0" fontId="4" fillId="0" borderId="6" xfId="3" applyFont="1" applyBorder="1" applyAlignment="1">
      <alignment horizontal="left"/>
    </xf>
    <xf numFmtId="0" fontId="5" fillId="3" borderId="23" xfId="3" applyFont="1" applyFill="1" applyBorder="1" applyAlignment="1">
      <alignment horizontal="center" vertical="center" wrapText="1"/>
    </xf>
    <xf numFmtId="0" fontId="4" fillId="6" borderId="12" xfId="3" applyFont="1" applyFill="1" applyBorder="1" applyAlignment="1">
      <alignment horizontal="left" vertical="top" wrapText="1"/>
    </xf>
    <xf numFmtId="49" fontId="5" fillId="0" borderId="12" xfId="3" applyNumberFormat="1" applyFont="1" applyBorder="1" applyAlignment="1">
      <alignment horizontal="center"/>
    </xf>
    <xf numFmtId="0" fontId="4" fillId="6" borderId="12" xfId="3" applyFont="1" applyFill="1" applyBorder="1" applyAlignment="1">
      <alignment horizontal="center"/>
    </xf>
    <xf numFmtId="0" fontId="24" fillId="3" borderId="78" xfId="3" applyFont="1" applyFill="1" applyBorder="1" applyAlignment="1">
      <alignment horizontal="center"/>
    </xf>
    <xf numFmtId="0" fontId="5" fillId="3" borderId="4" xfId="3" applyFont="1" applyFill="1" applyBorder="1" applyAlignment="1">
      <alignment horizontal="center" vertical="center" wrapText="1"/>
    </xf>
    <xf numFmtId="0" fontId="5" fillId="3" borderId="0" xfId="3" applyFont="1" applyFill="1" applyAlignment="1">
      <alignment horizontal="center" vertical="center" wrapText="1"/>
    </xf>
    <xf numFmtId="0" fontId="5" fillId="6" borderId="12" xfId="3" applyFont="1" applyFill="1" applyBorder="1" applyAlignment="1">
      <alignment horizontal="left" vertical="top" wrapText="1"/>
    </xf>
    <xf numFmtId="0" fontId="5" fillId="0" borderId="5" xfId="1" applyFont="1" applyBorder="1" applyAlignment="1">
      <alignment horizontal="left"/>
    </xf>
    <xf numFmtId="0" fontId="8" fillId="5" borderId="12" xfId="3" applyFont="1" applyFill="1" applyBorder="1" applyAlignment="1">
      <alignment horizontal="center" vertical="center"/>
    </xf>
    <xf numFmtId="49" fontId="5" fillId="0" borderId="23" xfId="3" applyNumberFormat="1" applyFont="1" applyBorder="1" applyAlignment="1">
      <alignment horizontal="right"/>
    </xf>
    <xf numFmtId="0" fontId="5" fillId="3" borderId="12" xfId="3" applyFont="1" applyFill="1" applyBorder="1" applyAlignment="1">
      <alignment horizontal="left" vertical="center"/>
    </xf>
    <xf numFmtId="164" fontId="4" fillId="0" borderId="4" xfId="3" applyNumberFormat="1" applyFont="1" applyBorder="1" applyAlignment="1">
      <alignment horizontal="center" vertical="center" wrapText="1"/>
    </xf>
    <xf numFmtId="0" fontId="5" fillId="3" borderId="26" xfId="3" applyFont="1" applyFill="1" applyBorder="1" applyAlignment="1">
      <alignment horizontal="left"/>
    </xf>
    <xf numFmtId="0" fontId="4" fillId="4" borderId="2" xfId="3" applyFont="1" applyFill="1" applyBorder="1" applyAlignment="1">
      <alignment horizontal="left" vertical="center" wrapText="1"/>
    </xf>
    <xf numFmtId="49" fontId="4" fillId="0" borderId="12" xfId="3" applyNumberFormat="1" applyFont="1" applyBorder="1" applyAlignment="1">
      <alignment horizontal="center" vertical="center" wrapText="1"/>
    </xf>
    <xf numFmtId="0" fontId="6" fillId="0" borderId="0" xfId="3" applyFont="1" applyAlignment="1">
      <alignment horizontal="left"/>
    </xf>
    <xf numFmtId="0" fontId="3" fillId="2" borderId="12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/>
    <xf numFmtId="165" fontId="0" fillId="10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textRotation="90"/>
    </xf>
    <xf numFmtId="165" fontId="0" fillId="10" borderId="1" xfId="0" applyNumberForma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8" xfId="0" applyFont="1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1" fillId="2" borderId="12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165" fontId="1" fillId="2" borderId="8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 vertical="center"/>
    </xf>
    <xf numFmtId="165" fontId="0" fillId="10" borderId="32" xfId="0" applyNumberFormat="1" applyFill="1" applyBorder="1" applyAlignment="1">
      <alignment horizontal="center" vertical="center"/>
    </xf>
    <xf numFmtId="165" fontId="0" fillId="10" borderId="30" xfId="0" applyNumberFormat="1" applyFill="1" applyBorder="1" applyAlignment="1">
      <alignment horizontal="center" vertical="center"/>
    </xf>
    <xf numFmtId="0" fontId="0" fillId="0" borderId="30" xfId="0" applyBorder="1"/>
    <xf numFmtId="166" fontId="12" fillId="0" borderId="0" xfId="0" applyNumberFormat="1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 textRotation="90"/>
    </xf>
    <xf numFmtId="0" fontId="1" fillId="0" borderId="0" xfId="0" applyFont="1" applyAlignment="1">
      <alignment horizontal="center" textRotation="90"/>
    </xf>
    <xf numFmtId="0" fontId="1" fillId="0" borderId="1" xfId="0" applyFont="1" applyBorder="1" applyAlignment="1">
      <alignment horizontal="center" vertical="center" textRotation="90"/>
    </xf>
    <xf numFmtId="0" fontId="1" fillId="2" borderId="3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165" fontId="1" fillId="2" borderId="3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0" borderId="0" xfId="3" applyAlignment="1">
      <alignment horizontal="center" vertical="center" textRotation="90"/>
    </xf>
    <xf numFmtId="0" fontId="1" fillId="0" borderId="0" xfId="3"/>
    <xf numFmtId="165" fontId="1" fillId="2" borderId="8" xfId="3" applyNumberFormat="1" applyFill="1" applyBorder="1" applyAlignment="1">
      <alignment horizontal="center" vertical="center" wrapText="1"/>
    </xf>
    <xf numFmtId="0" fontId="1" fillId="0" borderId="32" xfId="3" applyBorder="1" applyAlignment="1">
      <alignment horizontal="center" vertical="center" textRotation="90"/>
    </xf>
    <xf numFmtId="165" fontId="1" fillId="0" borderId="0" xfId="3" applyNumberFormat="1" applyAlignment="1">
      <alignment horizontal="center"/>
    </xf>
    <xf numFmtId="165" fontId="1" fillId="0" borderId="0" xfId="3" applyNumberFormat="1"/>
    <xf numFmtId="0" fontId="1" fillId="2" borderId="7" xfId="3" applyFill="1" applyBorder="1" applyAlignment="1">
      <alignment horizontal="center" vertical="center"/>
    </xf>
    <xf numFmtId="165" fontId="1" fillId="10" borderId="0" xfId="3" applyNumberFormat="1" applyFill="1" applyAlignment="1">
      <alignment horizontal="center" vertical="center"/>
    </xf>
    <xf numFmtId="0" fontId="1" fillId="2" borderId="3" xfId="3" applyFill="1" applyBorder="1" applyAlignment="1">
      <alignment horizontal="center"/>
    </xf>
    <xf numFmtId="165" fontId="1" fillId="2" borderId="3" xfId="3" applyNumberFormat="1" applyFill="1" applyBorder="1" applyAlignment="1">
      <alignment horizontal="center" vertical="center"/>
    </xf>
    <xf numFmtId="0" fontId="12" fillId="0" borderId="32" xfId="3" applyFont="1" applyBorder="1" applyAlignment="1">
      <alignment horizontal="center" vertical="center"/>
    </xf>
    <xf numFmtId="0" fontId="1" fillId="0" borderId="30" xfId="3" applyBorder="1" applyAlignment="1">
      <alignment horizontal="center" vertical="center" textRotation="90"/>
    </xf>
    <xf numFmtId="0" fontId="12" fillId="0" borderId="0" xfId="3" applyFont="1" applyAlignment="1">
      <alignment horizontal="center" vertical="center"/>
    </xf>
    <xf numFmtId="0" fontId="1" fillId="2" borderId="8" xfId="3" applyFill="1" applyBorder="1" applyAlignment="1">
      <alignment horizontal="center" vertical="center"/>
    </xf>
    <xf numFmtId="165" fontId="1" fillId="10" borderId="30" xfId="3" applyNumberFormat="1" applyFill="1" applyBorder="1" applyAlignment="1">
      <alignment horizontal="center" vertical="center"/>
    </xf>
    <xf numFmtId="0" fontId="1" fillId="2" borderId="12" xfId="3" applyFill="1" applyBorder="1" applyAlignment="1">
      <alignment horizontal="center" vertical="center"/>
    </xf>
    <xf numFmtId="0" fontId="1" fillId="2" borderId="4" xfId="3" applyFill="1" applyBorder="1" applyAlignment="1">
      <alignment horizontal="center" vertical="center"/>
    </xf>
    <xf numFmtId="166" fontId="12" fillId="0" borderId="32" xfId="3" applyNumberFormat="1" applyFont="1" applyBorder="1" applyAlignment="1">
      <alignment horizontal="center" vertical="center"/>
    </xf>
    <xf numFmtId="165" fontId="1" fillId="0" borderId="32" xfId="3" applyNumberFormat="1" applyBorder="1" applyAlignment="1">
      <alignment horizontal="center" vertical="center"/>
    </xf>
    <xf numFmtId="0" fontId="1" fillId="2" borderId="3" xfId="3" applyFill="1" applyBorder="1" applyAlignment="1">
      <alignment horizontal="center" vertical="center"/>
    </xf>
    <xf numFmtId="165" fontId="1" fillId="0" borderId="0" xfId="3" applyNumberFormat="1" applyAlignment="1">
      <alignment horizontal="center" vertical="center"/>
    </xf>
    <xf numFmtId="166" fontId="12" fillId="0" borderId="0" xfId="3" applyNumberFormat="1" applyFont="1" applyAlignment="1">
      <alignment horizontal="center" vertical="center"/>
    </xf>
    <xf numFmtId="165" fontId="1" fillId="10" borderId="32" xfId="3" applyNumberFormat="1" applyFill="1" applyBorder="1" applyAlignment="1">
      <alignment horizontal="center" vertical="center"/>
    </xf>
    <xf numFmtId="0" fontId="1" fillId="0" borderId="0" xfId="3" applyAlignment="1">
      <alignment horizontal="left"/>
    </xf>
    <xf numFmtId="0" fontId="1" fillId="2" borderId="0" xfId="3" applyFill="1" applyAlignment="1">
      <alignment horizontal="center"/>
    </xf>
    <xf numFmtId="0" fontId="14" fillId="6" borderId="0" xfId="0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9" borderId="0" xfId="0" applyFont="1" applyFill="1" applyAlignment="1">
      <alignment horizontal="center"/>
    </xf>
  </cellXfs>
  <cellStyles count="6">
    <cellStyle name="Link" xfId="2" builtinId="8"/>
    <cellStyle name="Standard" xfId="0" builtinId="0"/>
    <cellStyle name="Standard 2" xfId="3" xr:uid="{00000000-0005-0000-0000-000003000000}"/>
    <cellStyle name="Standard_Tabelle1" xfId="1" xr:uid="{00000000-0005-0000-0000-000001000000}"/>
    <cellStyle name="Währung 2" xfId="4" xr:uid="{00000000-0005-0000-0000-000004000000}"/>
    <cellStyle name="Währung 3" xfId="5" xr:uid="{00000000-0005-0000-0000-000005000000}"/>
  </cellStyles>
  <dxfs count="17"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8" Type="http://schemas.openxmlformats.org/officeDocument/2006/relationships/worksheet" Target="worksheets/sheet8.xml" /><Relationship Id="rId13" Type="http://schemas.openxmlformats.org/officeDocument/2006/relationships/worksheet" Target="worksheets/sheet13.xml" /><Relationship Id="rId18" Type="http://schemas.openxmlformats.org/officeDocument/2006/relationships/sharedStrings" Target="sharedStrings.xml" /><Relationship Id="rId3" Type="http://schemas.openxmlformats.org/officeDocument/2006/relationships/worksheet" Target="worksheets/sheet3.xml" /><Relationship Id="rId21" Type="http://schemas.microsoft.com/office/2006/relationships/vbaProject" Target="vbaProject.bin" /><Relationship Id="rId7" Type="http://schemas.openxmlformats.org/officeDocument/2006/relationships/worksheet" Target="worksheets/sheet7.xml" /><Relationship Id="rId12" Type="http://schemas.openxmlformats.org/officeDocument/2006/relationships/worksheet" Target="worksheets/sheet12.xml" /><Relationship Id="rId17" Type="http://schemas.openxmlformats.org/officeDocument/2006/relationships/styles" Target="styles.xml" /><Relationship Id="rId2" Type="http://schemas.openxmlformats.org/officeDocument/2006/relationships/worksheet" Target="worksheets/sheet2.xml" /><Relationship Id="rId16" Type="http://schemas.openxmlformats.org/officeDocument/2006/relationships/connections" Target="connections.xml" /><Relationship Id="rId20" Type="http://schemas.openxmlformats.org/officeDocument/2006/relationships/customXml" Target="../customXml/item1.xml" /><Relationship Id="rId1" Type="http://schemas.openxmlformats.org/officeDocument/2006/relationships/worksheet" Target="worksheets/sheet1.xml" /><Relationship Id="rId6" Type="http://schemas.openxmlformats.org/officeDocument/2006/relationships/worksheet" Target="worksheets/sheet6.xml" /><Relationship Id="rId11" Type="http://schemas.openxmlformats.org/officeDocument/2006/relationships/worksheet" Target="worksheets/sheet11.xml" /><Relationship Id="rId5" Type="http://schemas.openxmlformats.org/officeDocument/2006/relationships/worksheet" Target="worksheets/sheet5.xml" /><Relationship Id="rId15" Type="http://schemas.openxmlformats.org/officeDocument/2006/relationships/theme" Target="theme/theme1.xml" /><Relationship Id="rId10" Type="http://schemas.openxmlformats.org/officeDocument/2006/relationships/worksheet" Target="worksheets/sheet10.xml" /><Relationship Id="rId4" Type="http://schemas.openxmlformats.org/officeDocument/2006/relationships/worksheet" Target="worksheets/sheet4.xml" /><Relationship Id="rId9" Type="http://schemas.openxmlformats.org/officeDocument/2006/relationships/worksheet" Target="worksheets/sheet9.xml" /><Relationship Id="rId14" Type="http://schemas.openxmlformats.org/officeDocument/2006/relationships/worksheet" Target="worksheets/sheet14.xml" /></Relationships>
</file>

<file path=xl/ctrlProps/ctrlProp1.xml><?xml version="1.0" encoding="utf-8"?>
<formControlPr xmlns="http://schemas.microsoft.com/office/spreadsheetml/2009/9/main" objectType="CheckBox" fmlaLink="$I$48" lockText="1" noThreeD="1"/>
</file>

<file path=xl/ctrlProps/ctrlProp2.xml><?xml version="1.0" encoding="utf-8"?>
<formControlPr xmlns="http://schemas.microsoft.com/office/spreadsheetml/2009/9/main" objectType="CheckBox" fmlaLink="$I$47" lockText="1" noThreeD="1"/>
</file>

<file path=xl/ctrlProps/ctrlProp3.xml><?xml version="1.0" encoding="utf-8"?>
<formControlPr xmlns="http://schemas.microsoft.com/office/spreadsheetml/2009/9/main" objectType="CheckBox" fmlaLink="$K$47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fmlaLink="$I$51" lockText="1" noThreeD="1"/>
</file>

<file path=xl/ctrlProps/ctrlProp8.xml><?xml version="1.0" encoding="utf-8"?>
<formControlPr xmlns="http://schemas.microsoft.com/office/spreadsheetml/2009/9/main" objectType="CheckBox" fmlaLink="$K$51" lockText="1" noThreeD="1"/>
</file>

<file path=xl/ctrlProps/ctrlProp9.xml><?xml version="1.0" encoding="utf-8"?>
<formControlPr xmlns="http://schemas.microsoft.com/office/spreadsheetml/2009/9/main" objectType="CheckBox" fmlaLink="$M$51" lockText="1" noThreeD="1"/>
</file>

<file path=xl/ctrlProps/ctrlProp10.xml><?xml version="1.0" encoding="utf-8"?>
<formControlPr xmlns="http://schemas.microsoft.com/office/spreadsheetml/2009/9/main" objectType="CheckBox" fmlaLink="$Q$51" lockText="1" noThreeD="1"/>
</file>

<file path=xl/ctrlProps/ctrlProp11.xml><?xml version="1.0" encoding="utf-8"?>
<formControlPr xmlns="http://schemas.microsoft.com/office/spreadsheetml/2009/9/main" objectType="CheckBox" fmlaLink="$I$15" lockText="1" noThreeD="1"/>
</file>

<file path=xl/ctrlProps/ctrlProp12.xml><?xml version="1.0" encoding="utf-8"?>
<formControlPr xmlns="http://schemas.microsoft.com/office/spreadsheetml/2009/9/main" objectType="CheckBox" fmlaLink="$K$15" lockText="1" noThreeD="1"/>
</file>

<file path=xl/ctrlProps/ctrlProp13.xml><?xml version="1.0" encoding="utf-8"?>
<formControlPr xmlns="http://schemas.microsoft.com/office/spreadsheetml/2009/9/main" objectType="CheckBox" fmlaLink="$I$16" lockText="1" noThreeD="1"/>
</file>

<file path=xl/ctrlProps/ctrlProp14.xml><?xml version="1.0" encoding="utf-8"?>
<formControlPr xmlns="http://schemas.microsoft.com/office/spreadsheetml/2009/9/main" objectType="CheckBox" fmlaLink="$K$16" lockText="1" noThreeD="1"/>
</file>

<file path=xl/ctrlProps/ctrlProp15.xml><?xml version="1.0" encoding="utf-8"?>
<formControlPr xmlns="http://schemas.microsoft.com/office/spreadsheetml/2009/9/main" objectType="CheckBox" fmlaLink="$I$14" lockText="1" noThreeD="1"/>
</file>

<file path=xl/ctrlProps/ctrlProp16.xml><?xml version="1.0" encoding="utf-8"?>
<formControlPr xmlns="http://schemas.microsoft.com/office/spreadsheetml/2009/9/main" objectType="CheckBox" fmlaLink="$K$14" lockText="1" noThreeD="1"/>
</file>

<file path=xl/ctrlProps/ctrlProp17.xml><?xml version="1.0" encoding="utf-8"?>
<formControlPr xmlns="http://schemas.microsoft.com/office/spreadsheetml/2009/9/main" objectType="CheckBox" fmlaLink="$I$17" lockText="1" noThreeD="1"/>
</file>

<file path=xl/ctrlProps/ctrlProp18.xml><?xml version="1.0" encoding="utf-8"?>
<formControlPr xmlns="http://schemas.microsoft.com/office/spreadsheetml/2009/9/main" objectType="CheckBox" fmlaLink="$I$35" lockText="1" noThreeD="1"/>
</file>

<file path=xl/ctrlProps/ctrlProp19.xml><?xml version="1.0" encoding="utf-8"?>
<formControlPr xmlns="http://schemas.microsoft.com/office/spreadsheetml/2009/9/main" objectType="CheckBox" fmlaLink="$K$35" lockText="1" noThreeD="1"/>
</file>

<file path=xl/ctrlProps/ctrlProp20.xml><?xml version="1.0" encoding="utf-8"?>
<formControlPr xmlns="http://schemas.microsoft.com/office/spreadsheetml/2009/9/main" objectType="CheckBox" fmlaLink="$M$35" lockText="1" noThreeD="1"/>
</file>

<file path=xl/ctrlProps/ctrlProp21.xml><?xml version="1.0" encoding="utf-8"?>
<formControlPr xmlns="http://schemas.microsoft.com/office/spreadsheetml/2009/9/main" objectType="CheckBox" fmlaLink="$I$42" lockText="1" noThreeD="1"/>
</file>

<file path=xl/ctrlProps/ctrlProp22.xml><?xml version="1.0" encoding="utf-8"?>
<formControlPr xmlns="http://schemas.microsoft.com/office/spreadsheetml/2009/9/main" objectType="CheckBox" fmlaLink="$K$42" lockText="1" noThreeD="1"/>
</file>

<file path=xl/ctrlProps/ctrlProp23.xml><?xml version="1.0" encoding="utf-8"?>
<formControlPr xmlns="http://schemas.microsoft.com/office/spreadsheetml/2009/9/main" objectType="CheckBox" fmlaLink="$I$43" lockText="1" noThreeD="1"/>
</file>

<file path=xl/ctrlProps/ctrlProp24.xml><?xml version="1.0" encoding="utf-8"?>
<formControlPr xmlns="http://schemas.microsoft.com/office/spreadsheetml/2009/9/main" objectType="CheckBox" fmlaLink="$K$43" lockText="1" noThreeD="1"/>
</file>

<file path=xl/ctrlProps/ctrlProp25.xml><?xml version="1.0" encoding="utf-8"?>
<formControlPr xmlns="http://schemas.microsoft.com/office/spreadsheetml/2009/9/main" objectType="CheckBox" fmlaLink="'Schutzprüf-Checkliste'!$I$38" lockText="1" noThreeD="1"/>
</file>

<file path=xl/ctrlProps/ctrlProp26.xml><?xml version="1.0" encoding="utf-8"?>
<formControlPr xmlns="http://schemas.microsoft.com/office/spreadsheetml/2009/9/main" objectType="CheckBox" fmlaLink="$I$30" lockText="1" noThreeD="1"/>
</file>

<file path=xl/ctrlProps/ctrlProp27.xml><?xml version="1.0" encoding="utf-8"?>
<formControlPr xmlns="http://schemas.microsoft.com/office/spreadsheetml/2009/9/main" objectType="CheckBox" fmlaLink="$K$41" lockText="1" noThreeD="1"/>
</file>

<file path=xl/ctrlProps/ctrlProp28.xml><?xml version="1.0" encoding="utf-8"?>
<formControlPr xmlns="http://schemas.microsoft.com/office/spreadsheetml/2009/9/main" objectType="CheckBox" fmlaLink="$I$41" lockText="1" noThreeD="1"/>
</file>

<file path=xl/ctrlProps/ctrlProp29.xml><?xml version="1.0" encoding="utf-8"?>
<formControlPr xmlns="http://schemas.microsoft.com/office/spreadsheetml/2009/9/main" objectType="CheckBox" fmlaLink="$O$41" lockText="1" noThreeD="1"/>
</file>

<file path=xl/ctrlProps/ctrlProp30.xml><?xml version="1.0" encoding="utf-8"?>
<formControlPr xmlns="http://schemas.microsoft.com/office/spreadsheetml/2009/9/main" objectType="CheckBox" fmlaLink="$M$41" lockText="1" noThreeD="1"/>
</file>

<file path=xl/ctrlProps/ctrlProp31.xml><?xml version="1.0" encoding="utf-8"?>
<formControlPr xmlns="http://schemas.microsoft.com/office/spreadsheetml/2009/9/main" objectType="CheckBox" fmlaLink="$K$17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fmlaLink="$K$24" lockText="1" noThreeD="1"/>
</file>

<file path=xl/ctrlProps/ctrlProp34.xml><?xml version="1.0" encoding="utf-8"?>
<formControlPr xmlns="http://schemas.microsoft.com/office/spreadsheetml/2009/9/main" objectType="CheckBox" fmlaLink="$M$24" lockText="1" noThreeD="1"/>
</file>

<file path=xl/ctrlProps/ctrlProp35.xml><?xml version="1.0" encoding="utf-8"?>
<formControlPr xmlns="http://schemas.microsoft.com/office/spreadsheetml/2009/9/main" objectType="CheckBox" fmlaLink="$I$24" lockText="1" noThreeD="1"/>
</file>

<file path=xl/ctrlProps/ctrlProp36.xml><?xml version="1.0" encoding="utf-8"?>
<formControlPr xmlns="http://schemas.microsoft.com/office/spreadsheetml/2009/9/main" objectType="CheckBox" fmlaLink="$I$71" lockText="1" noThreeD="1"/>
</file>

<file path=xl/ctrlProps/ctrlProp37.xml><?xml version="1.0" encoding="utf-8"?>
<formControlPr xmlns="http://schemas.microsoft.com/office/spreadsheetml/2009/9/main" objectType="CheckBox" fmlaLink="$I$72" lockText="1" noThreeD="1"/>
</file>

<file path=xl/ctrlProps/ctrlProp38.xml><?xml version="1.0" encoding="utf-8"?>
<formControlPr xmlns="http://schemas.microsoft.com/office/spreadsheetml/2009/9/main" objectType="CheckBox" fmlaLink="$I$70" lockText="1" noThreeD="1"/>
</file>

<file path=xl/ctrlProps/ctrlProp39.xml><?xml version="1.0" encoding="utf-8"?>
<formControlPr xmlns="http://schemas.microsoft.com/office/spreadsheetml/2009/9/main" objectType="CheckBox" fmlaLink="$I$85" lockText="1" noThreeD="1"/>
</file>

<file path=xl/ctrlProps/ctrlProp40.xml><?xml version="1.0" encoding="utf-8"?>
<formControlPr xmlns="http://schemas.microsoft.com/office/spreadsheetml/2009/9/main" objectType="CheckBox" fmlaLink="$I$84" lockText="1" noThreeD="1"/>
</file>

<file path=xl/ctrlProps/ctrlProp41.xml><?xml version="1.0" encoding="utf-8"?>
<formControlPr xmlns="http://schemas.microsoft.com/office/spreadsheetml/2009/9/main" objectType="CheckBox" fmlaLink="$M$14" lockText="1" noThreeD="1"/>
</file>

<file path=xl/ctrlProps/ctrlProp42.xml><?xml version="1.0" encoding="utf-8"?>
<formControlPr xmlns="http://schemas.microsoft.com/office/spreadsheetml/2009/9/main" objectType="CheckBox" fmlaLink="$I$20" lockText="1" noThreeD="1"/>
</file>

<file path=xl/ctrlProps/ctrlProp43.xml><?xml version="1.0" encoding="utf-8"?>
<formControlPr xmlns="http://schemas.microsoft.com/office/spreadsheetml/2009/9/main" objectType="CheckBox" fmlaLink="$I$21" lockText="1" noThreeD="1"/>
</file>

<file path=xl/ctrlProps/ctrlProp44.xml><?xml version="1.0" encoding="utf-8"?>
<formControlPr xmlns="http://schemas.microsoft.com/office/spreadsheetml/2009/9/main" objectType="CheckBox" fmlaLink="$K$26" lockText="1" noThreeD="1"/>
</file>

<file path=xl/ctrlProps/ctrlProp45.xml><?xml version="1.0" encoding="utf-8"?>
<formControlPr xmlns="http://schemas.microsoft.com/office/spreadsheetml/2009/9/main" objectType="CheckBox" fmlaLink="$I$26" lockText="1" noThreeD="1"/>
</file>

<file path=xl/ctrlProps/ctrlProp46.xml><?xml version="1.0" encoding="utf-8"?>
<formControlPr xmlns="http://schemas.microsoft.com/office/spreadsheetml/2009/9/main" objectType="CheckBox" fmlaLink="$I$36" lockText="1" noThreeD="1"/>
</file>

<file path=xl/ctrlProps/ctrlProp47.xml><?xml version="1.0" encoding="utf-8"?>
<formControlPr xmlns="http://schemas.microsoft.com/office/spreadsheetml/2009/9/main" objectType="CheckBox" fmlaLink="$K$36" lockText="1" noThreeD="1"/>
</file>

<file path=xl/ctrlProps/ctrlProp48.xml><?xml version="1.0" encoding="utf-8"?>
<formControlPr xmlns="http://schemas.microsoft.com/office/spreadsheetml/2009/9/main" objectType="CheckBox" fmlaLink="$M$36" lockText="1" noThreeD="1"/>
</file>

<file path=xl/ctrlProps/ctrlProp49.xml><?xml version="1.0" encoding="utf-8"?>
<formControlPr xmlns="http://schemas.microsoft.com/office/spreadsheetml/2009/9/main" objectType="CheckBox" fmlaLink="$M$26" lockText="1" noThreeD="1"/>
</file>

<file path=xl/ctrlProps/ctrlProp50.xml><?xml version="1.0" encoding="utf-8"?>
<formControlPr xmlns="http://schemas.microsoft.com/office/spreadsheetml/2009/9/main" objectType="CheckBox" fmlaLink="$O$26" lockText="1" noThreeD="1"/>
</file>

<file path=xl/ctrlProps/ctrlProp51.xml><?xml version="1.0" encoding="utf-8"?>
<formControlPr xmlns="http://schemas.microsoft.com/office/spreadsheetml/2009/9/main" objectType="CheckBox" fmlaLink="$Q$26" lockText="1" noThreeD="1"/>
</file>

<file path=xl/ctrlProps/ctrlProp52.xml><?xml version="1.0" encoding="utf-8"?>
<formControlPr xmlns="http://schemas.microsoft.com/office/spreadsheetml/2009/9/main" objectType="CheckBox" fmlaLink="$S$26" lockText="1" noThreeD="1"/>
</file>

<file path=xl/ctrlProps/ctrlProp53.xml><?xml version="1.0" encoding="utf-8"?>
<formControlPr xmlns="http://schemas.microsoft.com/office/spreadsheetml/2009/9/main" objectType="CheckBox" fmlaLink="$I$49" lockText="1" noThreeD="1"/>
</file>

<file path=xl/ctrlProps/ctrlProp54.xml><?xml version="1.0" encoding="utf-8"?>
<formControlPr xmlns="http://schemas.microsoft.com/office/spreadsheetml/2009/9/main" objectType="CheckBox" fmlaLink="$O$51" lockText="1" noThreeD="1"/>
</file>

<file path=xl/ctrlProps/ctrlProp55.xml><?xml version="1.0" encoding="utf-8"?>
<formControlPr xmlns="http://schemas.microsoft.com/office/spreadsheetml/2009/9/main" objectType="CheckBox" fmlaLink="$K$48" lockText="1" noThreeD="1"/>
</file>

<file path=xl/ctrlProps/ctrlProp56.xml><?xml version="1.0" encoding="utf-8"?>
<formControlPr xmlns="http://schemas.microsoft.com/office/spreadsheetml/2009/9/main" objectType="CheckBox" fmlaLink="$K$49" lockText="1" noThreeD="1"/>
</file>

<file path=xl/ctrlProps/ctrlProp57.xml><?xml version="1.0" encoding="utf-8"?>
<formControlPr xmlns="http://schemas.microsoft.com/office/spreadsheetml/2009/9/main" objectType="CheckBox" fmlaLink="$I$31" lockText="1" noThreeD="1"/>
</file>

<file path=xl/ctrlProps/ctrlProp58.xml><?xml version="1.0" encoding="utf-8"?>
<formControlPr xmlns="http://schemas.microsoft.com/office/spreadsheetml/2009/9/main" objectType="CheckBox" fmlaLink="$K$32" lockText="1" noThreeD="1"/>
</file>

<file path=xl/ctrlProps/ctrlProp59.xml><?xml version="1.0" encoding="utf-8"?>
<formControlPr xmlns="http://schemas.microsoft.com/office/spreadsheetml/2009/9/main" objectType="CheckBox" fmlaLink="$I$32" lockText="1" noThreeD="1"/>
</file>

<file path=xl/ctrlProps/ctrlProp60.xml><?xml version="1.0" encoding="utf-8"?>
<formControlPr xmlns="http://schemas.microsoft.com/office/spreadsheetml/2009/9/main" objectType="CheckBox" fmlaLink="$O$32" lockText="1" noThreeD="1"/>
</file>

<file path=xl/ctrlProps/ctrlProp61.xml><?xml version="1.0" encoding="utf-8"?>
<formControlPr xmlns="http://schemas.microsoft.com/office/spreadsheetml/2009/9/main" objectType="CheckBox" fmlaLink="$M$32" lockText="1" noThreeD="1"/>
</file>

<file path=xl/ctrlProps/ctrlProp62.xml><?xml version="1.0" encoding="utf-8"?>
<formControlPr xmlns="http://schemas.microsoft.com/office/spreadsheetml/2009/9/main" objectType="CheckBox" fmlaLink="$S$32" lockText="1" noThreeD="1"/>
</file>

<file path=xl/ctrlProps/ctrlProp63.xml><?xml version="1.0" encoding="utf-8"?>
<formControlPr xmlns="http://schemas.microsoft.com/office/spreadsheetml/2009/9/main" objectType="CheckBox" fmlaLink="$Q$32" lockText="1" noThreeD="1"/>
</file>

<file path=xl/ctrlProps/ctrlProp64.xml><?xml version="1.0" encoding="utf-8"?>
<formControlPr xmlns="http://schemas.microsoft.com/office/spreadsheetml/2009/9/main" objectType="CheckBox" fmlaLink="$I$44" lockText="1" noThreeD="1"/>
</file>

<file path=xl/ctrlProps/ctrlProp65.xml><?xml version="1.0" encoding="utf-8"?>
<formControlPr xmlns="http://schemas.microsoft.com/office/spreadsheetml/2009/9/main" objectType="CheckBox" fmlaLink="$I$88" lockText="1" noThreeD="1"/>
</file>

<file path=xl/ctrlProps/ctrlProp66.xml><?xml version="1.0" encoding="utf-8"?>
<formControlPr xmlns="http://schemas.microsoft.com/office/spreadsheetml/2009/9/main" objectType="CheckBox" fmlaLink="$K$88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fmlaLink="$K$70" lockText="1" noThreeD="1"/>
</file>

<file path=xl/ctrlProps/ctrlProp70.xml><?xml version="1.0" encoding="utf-8"?>
<formControlPr xmlns="http://schemas.microsoft.com/office/spreadsheetml/2009/9/main" objectType="CheckBox" fmlaLink="$K$71" lockText="1" noThreeD="1"/>
</file>

<file path=xl/ctrlProps/ctrlProp71.xml><?xml version="1.0" encoding="utf-8"?>
<formControlPr xmlns="http://schemas.microsoft.com/office/spreadsheetml/2009/9/main" objectType="CheckBox" fmlaLink="$K$72" lockText="1" noThreeD="1"/>
</file>

<file path=xl/ctrlProps/ctrlProp72.xml><?xml version="1.0" encoding="utf-8"?>
<formControlPr xmlns="http://schemas.microsoft.com/office/spreadsheetml/2009/9/main" objectType="CheckBox" fmlaLink="$I$39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fmlaLink="$W$14" lockText="1" noThreeD="1"/>
</file>

<file path=xl/ctrlProps/ctrlProp76.xml><?xml version="1.0" encoding="utf-8"?>
<formControlPr xmlns="http://schemas.microsoft.com/office/spreadsheetml/2009/9/main" objectType="CheckBox" fmlaLink="$Q$47" lockText="1" noThreeD="1"/>
</file>

<file path=xl/ctrlProps/ctrlProp77.xml><?xml version="1.0" encoding="utf-8"?>
<formControlPr xmlns="http://schemas.microsoft.com/office/spreadsheetml/2009/9/main" objectType="CheckBox" fmlaLink="$I$47" lockText="1" noThreeD="1"/>
</file>

<file path=xl/ctrlProps/ctrlProp78.xml><?xml version="1.0" encoding="utf-8"?>
<formControlPr xmlns="http://schemas.microsoft.com/office/spreadsheetml/2009/9/main" objectType="CheckBox" fmlaLink="$O$47" lockText="1" noThreeD="1"/>
</file>

<file path=xl/ctrlProps/ctrlProp79.xml><?xml version="1.0" encoding="utf-8"?>
<formControlPr xmlns="http://schemas.microsoft.com/office/spreadsheetml/2009/9/main" objectType="CheckBox" fmlaLink="$M$47" lockText="1" noThreeD="1"/>
</file>

<file path=xl/ctrlProps/ctrlProp80.xml><?xml version="1.0" encoding="utf-8"?>
<formControlPr xmlns="http://schemas.microsoft.com/office/spreadsheetml/2009/9/main" objectType="CheckBox" fmlaLink="$K$47" lockText="1" noThreeD="1"/>
</file>

<file path=xl/ctrlProps/ctrlProp81.xml><?xml version="1.0" encoding="utf-8"?>
<formControlPr xmlns="http://schemas.microsoft.com/office/spreadsheetml/2009/9/main" objectType="CheckBox" fmlaLink="$Q$49" lockText="1" noThreeD="1"/>
</file>

<file path=xl/ctrlProps/ctrlProp82.xml><?xml version="1.0" encoding="utf-8"?>
<formControlPr xmlns="http://schemas.microsoft.com/office/spreadsheetml/2009/9/main" objectType="CheckBox" fmlaLink="$I$49" lockText="1" noThreeD="1"/>
</file>

<file path=xl/ctrlProps/ctrlProp83.xml><?xml version="1.0" encoding="utf-8"?>
<formControlPr xmlns="http://schemas.microsoft.com/office/spreadsheetml/2009/9/main" objectType="CheckBox" fmlaLink="$O$49" lockText="1" noThreeD="1"/>
</file>

<file path=xl/ctrlProps/ctrlProp84.xml><?xml version="1.0" encoding="utf-8"?>
<formControlPr xmlns="http://schemas.microsoft.com/office/spreadsheetml/2009/9/main" objectType="CheckBox" fmlaLink="$M$49" lockText="1" noThreeD="1"/>
</file>

<file path=xl/ctrlProps/ctrlProp85.xml><?xml version="1.0" encoding="utf-8"?>
<formControlPr xmlns="http://schemas.microsoft.com/office/spreadsheetml/2009/9/main" objectType="CheckBox" fmlaLink="$K$49" lockText="1" noThreeD="1"/>
</file>

<file path=xl/ctrlProps/ctrlProp86.xml><?xml version="1.0" encoding="utf-8"?>
<formControlPr xmlns="http://schemas.microsoft.com/office/spreadsheetml/2009/9/main" objectType="CheckBox" fmlaLink="$Q$51" lockText="1" noThreeD="1"/>
</file>

<file path=xl/ctrlProps/ctrlProp87.xml><?xml version="1.0" encoding="utf-8"?>
<formControlPr xmlns="http://schemas.microsoft.com/office/spreadsheetml/2009/9/main" objectType="CheckBox" fmlaLink="$I$51" lockText="1" noThreeD="1"/>
</file>

<file path=xl/ctrlProps/ctrlProp88.xml><?xml version="1.0" encoding="utf-8"?>
<formControlPr xmlns="http://schemas.microsoft.com/office/spreadsheetml/2009/9/main" objectType="CheckBox" fmlaLink="$O$51" lockText="1" noThreeD="1"/>
</file>

<file path=xl/ctrlProps/ctrlProp89.xml><?xml version="1.0" encoding="utf-8"?>
<formControlPr xmlns="http://schemas.microsoft.com/office/spreadsheetml/2009/9/main" objectType="CheckBox" fmlaLink="$M$51" lockText="1" noThreeD="1"/>
</file>

<file path=xl/ctrlProps/ctrlProp90.xml><?xml version="1.0" encoding="utf-8"?>
<formControlPr xmlns="http://schemas.microsoft.com/office/spreadsheetml/2009/9/main" objectType="CheckBox" fmlaLink="$K$51" lockText="1" noThreeD="1"/>
</file>

<file path=xl/ctrlProps/ctrlProp91.xml><?xml version="1.0" encoding="utf-8"?>
<formControlPr xmlns="http://schemas.microsoft.com/office/spreadsheetml/2009/9/main" objectType="CheckBox" fmlaLink="$M$43" lockText="1" noThreeD="1"/>
</file>

<file path=xl/ctrlProps/ctrlProp92.xml><?xml version="1.0" encoding="utf-8"?>
<formControlPr xmlns="http://schemas.microsoft.com/office/spreadsheetml/2009/9/main" objectType="CheckBox" fmlaLink="$K$41" lockText="1" noThreeD="1"/>
</file>

<file path=xl/ctrlProps/ctrlProp93.xml><?xml version="1.0" encoding="utf-8"?>
<formControlPr xmlns="http://schemas.microsoft.com/office/spreadsheetml/2009/9/main" objectType="CheckBox" fmlaLink="$I$41" lockText="1" noThreeD="1"/>
</file>

<file path=xl/ctrlProps/ctrlProp94.xml><?xml version="1.0" encoding="utf-8"?>
<formControlPr xmlns="http://schemas.microsoft.com/office/spreadsheetml/2009/9/main" objectType="CheckBox" fmlaLink="$K$45" lockText="1" noThreeD="1"/>
</file>

<file path=xl/ctrlProps/ctrlProp95.xml><?xml version="1.0" encoding="utf-8"?>
<formControlPr xmlns="http://schemas.microsoft.com/office/spreadsheetml/2009/9/main" objectType="CheckBox" fmlaLink="$K$43" lockText="1" noThreeD="1"/>
</file>

<file path=xl/ctrlProps/ctrlProp96.xml><?xml version="1.0" encoding="utf-8"?>
<formControlPr xmlns="http://schemas.microsoft.com/office/spreadsheetml/2009/9/main" objectType="CheckBox" fmlaLink="$I$43" lockText="1" noThreeD="1"/>
</file>

<file path=xl/ctrlProps/ctrlProp97.xml><?xml version="1.0" encoding="utf-8"?>
<formControlPr xmlns="http://schemas.microsoft.com/office/spreadsheetml/2009/9/main" objectType="CheckBox" fmlaLink="$M$45" lockText="1" noThreeD="1"/>
</file>

<file path=xl/ctrlProps/ctrlProp98.xml><?xml version="1.0" encoding="utf-8"?>
<formControlPr xmlns="http://schemas.microsoft.com/office/spreadsheetml/2009/9/main" objectType="CheckBox" fmlaLink="$M$41" lockText="1" noThreeD="1"/>
</file>

<file path=xl/ctrlProps/ctrlProp99.xml><?xml version="1.0" encoding="utf-8"?>
<formControlPr xmlns="http://schemas.microsoft.com/office/spreadsheetml/2009/9/main" objectType="CheckBox" checked="Checked" fmlaLink="$O$61" lockText="1" noThreeD="1"/>
</file>

<file path=xl/ctrlProps/ctrlProp100.xml><?xml version="1.0" encoding="utf-8"?>
<formControlPr xmlns="http://schemas.microsoft.com/office/spreadsheetml/2009/9/main" objectType="CheckBox" checked="Checked" fmlaLink="$M$61" lockText="1" noThreeD="1"/>
</file>

<file path=xl/ctrlProps/ctrlProp101.xml><?xml version="1.0" encoding="utf-8"?>
<formControlPr xmlns="http://schemas.microsoft.com/office/spreadsheetml/2009/9/main" objectType="CheckBox" fmlaLink="$I$61" lockText="1" noThreeD="1"/>
</file>

<file path=xl/ctrlProps/ctrlProp102.xml><?xml version="1.0" encoding="utf-8"?>
<formControlPr xmlns="http://schemas.microsoft.com/office/spreadsheetml/2009/9/main" objectType="CheckBox" fmlaLink="$K$61" lockText="1" noThreeD="1"/>
</file>

<file path=xl/ctrlProps/ctrlProp103.xml><?xml version="1.0" encoding="utf-8"?>
<formControlPr xmlns="http://schemas.microsoft.com/office/spreadsheetml/2009/9/main" objectType="CheckBox" checked="Checked" fmlaLink="$O$62" lockText="1" noThreeD="1"/>
</file>

<file path=xl/ctrlProps/ctrlProp104.xml><?xml version="1.0" encoding="utf-8"?>
<formControlPr xmlns="http://schemas.microsoft.com/office/spreadsheetml/2009/9/main" objectType="CheckBox" checked="Checked" fmlaLink="$M$62" lockText="1" noThreeD="1"/>
</file>

<file path=xl/ctrlProps/ctrlProp105.xml><?xml version="1.0" encoding="utf-8"?>
<formControlPr xmlns="http://schemas.microsoft.com/office/spreadsheetml/2009/9/main" objectType="CheckBox" fmlaLink="$I$62" lockText="1" noThreeD="1"/>
</file>

<file path=xl/ctrlProps/ctrlProp106.xml><?xml version="1.0" encoding="utf-8"?>
<formControlPr xmlns="http://schemas.microsoft.com/office/spreadsheetml/2009/9/main" objectType="CheckBox" fmlaLink="$K$62" lockText="1" noThreeD="1"/>
</file>

<file path=xl/ctrlProps/ctrlProp107.xml><?xml version="1.0" encoding="utf-8"?>
<formControlPr xmlns="http://schemas.microsoft.com/office/spreadsheetml/2009/9/main" objectType="CheckBox" checked="Checked" fmlaLink="$O$79" lockText="1" noThreeD="1"/>
</file>

<file path=xl/ctrlProps/ctrlProp108.xml><?xml version="1.0" encoding="utf-8"?>
<formControlPr xmlns="http://schemas.microsoft.com/office/spreadsheetml/2009/9/main" objectType="CheckBox" fmlaLink="$M$79" lockText="1" noThreeD="1"/>
</file>

<file path=xl/ctrlProps/ctrlProp109.xml><?xml version="1.0" encoding="utf-8"?>
<formControlPr xmlns="http://schemas.microsoft.com/office/spreadsheetml/2009/9/main" objectType="CheckBox" fmlaLink="$I$79" lockText="1" noThreeD="1"/>
</file>

<file path=xl/ctrlProps/ctrlProp110.xml><?xml version="1.0" encoding="utf-8"?>
<formControlPr xmlns="http://schemas.microsoft.com/office/spreadsheetml/2009/9/main" objectType="CheckBox" fmlaLink="$K$79" lockText="1" noThreeD="1"/>
</file>

<file path=xl/ctrlProps/ctrlProp111.xml><?xml version="1.0" encoding="utf-8"?>
<formControlPr xmlns="http://schemas.microsoft.com/office/spreadsheetml/2009/9/main" objectType="CheckBox" fmlaLink="$Q$79" lockText="1" noThreeD="1"/>
</file>

<file path=xl/ctrlProps/ctrlProp112.xml><?xml version="1.0" encoding="utf-8"?>
<formControlPr xmlns="http://schemas.microsoft.com/office/spreadsheetml/2009/9/main" objectType="CheckBox" fmlaLink="$S$79" lockText="1" noThreeD="1"/>
</file>

<file path=xl/ctrlProps/ctrlProp113.xml><?xml version="1.0" encoding="utf-8"?>
<formControlPr xmlns="http://schemas.microsoft.com/office/spreadsheetml/2009/9/main" objectType="CheckBox" fmlaLink="$I$80" lockText="1" noThreeD="1"/>
</file>

<file path=xl/ctrlProps/ctrlProp114.xml><?xml version="1.0" encoding="utf-8"?>
<formControlPr xmlns="http://schemas.microsoft.com/office/spreadsheetml/2009/9/main" objectType="CheckBox" fmlaLink="$K$80" lockText="1" noThreeD="1"/>
</file>

<file path=xl/ctrlProps/ctrlProp115.xml><?xml version="1.0" encoding="utf-8"?>
<formControlPr xmlns="http://schemas.microsoft.com/office/spreadsheetml/2009/9/main" objectType="CheckBox" fmlaLink="$I$76" lockText="1" noThreeD="1"/>
</file>

<file path=xl/ctrlProps/ctrlProp116.xml><?xml version="1.0" encoding="utf-8"?>
<formControlPr xmlns="http://schemas.microsoft.com/office/spreadsheetml/2009/9/main" objectType="CheckBox" fmlaLink="$M$76" lockText="1" noThreeD="1"/>
</file>

<file path=xl/ctrlProps/ctrlProp117.xml><?xml version="1.0" encoding="utf-8"?>
<formControlPr xmlns="http://schemas.microsoft.com/office/spreadsheetml/2009/9/main" objectType="CheckBox" fmlaLink="$K$76" lockText="1" noThreeD="1"/>
</file>

<file path=xl/ctrlProps/ctrlProp118.xml><?xml version="1.0" encoding="utf-8"?>
<formControlPr xmlns="http://schemas.microsoft.com/office/spreadsheetml/2009/9/main" objectType="CheckBox" fmlaLink="$O$76" lockText="1" noThreeD="1"/>
</file>

<file path=xl/ctrlProps/ctrlProp119.xml><?xml version="1.0" encoding="utf-8"?>
<formControlPr xmlns="http://schemas.microsoft.com/office/spreadsheetml/2009/9/main" objectType="CheckBox" fmlaLink="$O$80" lockText="1" noThreeD="1"/>
</file>

<file path=xl/ctrlProps/ctrlProp120.xml><?xml version="1.0" encoding="utf-8"?>
<formControlPr xmlns="http://schemas.microsoft.com/office/spreadsheetml/2009/9/main" objectType="CheckBox" fmlaLink="$M$80" lockText="1" noThreeD="1"/>
</file>

<file path=xl/ctrlProps/ctrlProp121.xml><?xml version="1.0" encoding="utf-8"?>
<formControlPr xmlns="http://schemas.microsoft.com/office/spreadsheetml/2009/9/main" objectType="CheckBox" fmlaLink="$O$81" lockText="1" noThreeD="1"/>
</file>

<file path=xl/ctrlProps/ctrlProp122.xml><?xml version="1.0" encoding="utf-8"?>
<formControlPr xmlns="http://schemas.microsoft.com/office/spreadsheetml/2009/9/main" objectType="CheckBox" fmlaLink="$M$81" lockText="1" noThreeD="1"/>
</file>

<file path=xl/ctrlProps/ctrlProp123.xml><?xml version="1.0" encoding="utf-8"?>
<formControlPr xmlns="http://schemas.microsoft.com/office/spreadsheetml/2009/9/main" objectType="CheckBox" fmlaLink="$I$81" lockText="1" noThreeD="1"/>
</file>

<file path=xl/ctrlProps/ctrlProp124.xml><?xml version="1.0" encoding="utf-8"?>
<formControlPr xmlns="http://schemas.microsoft.com/office/spreadsheetml/2009/9/main" objectType="CheckBox" fmlaLink="$K$81" lockText="1" noThreeD="1"/>
</file>

<file path=xl/ctrlProps/ctrlProp125.xml><?xml version="1.0" encoding="utf-8"?>
<formControlPr xmlns="http://schemas.microsoft.com/office/spreadsheetml/2009/9/main" objectType="CheckBox" fmlaLink="$Q$81" lockText="1" noThreeD="1"/>
</file>

<file path=xl/ctrlProps/ctrlProp126.xml><?xml version="1.0" encoding="utf-8"?>
<formControlPr xmlns="http://schemas.microsoft.com/office/spreadsheetml/2009/9/main" objectType="CheckBox" fmlaLink="$S$81" lockText="1" noThreeD="1"/>
</file>

<file path=xl/ctrlProps/ctrlProp127.xml><?xml version="1.0" encoding="utf-8"?>
<formControlPr xmlns="http://schemas.microsoft.com/office/spreadsheetml/2009/9/main" objectType="CheckBox" fmlaLink="$I$82" lockText="1" noThreeD="1"/>
</file>

<file path=xl/ctrlProps/ctrlProp128.xml><?xml version="1.0" encoding="utf-8"?>
<formControlPr xmlns="http://schemas.microsoft.com/office/spreadsheetml/2009/9/main" objectType="CheckBox" fmlaLink="$K$82" lockText="1" noThreeD="1"/>
</file>

<file path=xl/ctrlProps/ctrlProp129.xml><?xml version="1.0" encoding="utf-8"?>
<formControlPr xmlns="http://schemas.microsoft.com/office/spreadsheetml/2009/9/main" objectType="CheckBox" fmlaLink="$O$82" lockText="1" noThreeD="1"/>
</file>

<file path=xl/ctrlProps/ctrlProp130.xml><?xml version="1.0" encoding="utf-8"?>
<formControlPr xmlns="http://schemas.microsoft.com/office/spreadsheetml/2009/9/main" objectType="CheckBox" fmlaLink="$M$82" lockText="1" noThreeD="1"/>
</file>

<file path=xl/ctrlProps/ctrlProp131.xml><?xml version="1.0" encoding="utf-8"?>
<formControlPr xmlns="http://schemas.microsoft.com/office/spreadsheetml/2009/9/main" objectType="CheckBox" fmlaLink="$O$64" lockText="1" noThreeD="1"/>
</file>

<file path=xl/ctrlProps/ctrlProp132.xml><?xml version="1.0" encoding="utf-8"?>
<formControlPr xmlns="http://schemas.microsoft.com/office/spreadsheetml/2009/9/main" objectType="CheckBox" fmlaLink="$M$64" lockText="1" noThreeD="1"/>
</file>

<file path=xl/ctrlProps/ctrlProp133.xml><?xml version="1.0" encoding="utf-8"?>
<formControlPr xmlns="http://schemas.microsoft.com/office/spreadsheetml/2009/9/main" objectType="CheckBox" fmlaLink="$I$64" lockText="1" noThreeD="1"/>
</file>

<file path=xl/ctrlProps/ctrlProp134.xml><?xml version="1.0" encoding="utf-8"?>
<formControlPr xmlns="http://schemas.microsoft.com/office/spreadsheetml/2009/9/main" objectType="CheckBox" fmlaLink="$K$64" lockText="1" noThreeD="1"/>
</file>

<file path=xl/ctrlProps/ctrlProp135.xml><?xml version="1.0" encoding="utf-8"?>
<formControlPr xmlns="http://schemas.microsoft.com/office/spreadsheetml/2009/9/main" objectType="CheckBox" fmlaLink="$O$65" lockText="1" noThreeD="1"/>
</file>

<file path=xl/ctrlProps/ctrlProp136.xml><?xml version="1.0" encoding="utf-8"?>
<formControlPr xmlns="http://schemas.microsoft.com/office/spreadsheetml/2009/9/main" objectType="CheckBox" fmlaLink="$M$65" lockText="1" noThreeD="1"/>
</file>

<file path=xl/ctrlProps/ctrlProp137.xml><?xml version="1.0" encoding="utf-8"?>
<formControlPr xmlns="http://schemas.microsoft.com/office/spreadsheetml/2009/9/main" objectType="CheckBox" fmlaLink="$I$65" lockText="1" noThreeD="1"/>
</file>

<file path=xl/ctrlProps/ctrlProp138.xml><?xml version="1.0" encoding="utf-8"?>
<formControlPr xmlns="http://schemas.microsoft.com/office/spreadsheetml/2009/9/main" objectType="CheckBox" fmlaLink="$K$65" lockText="1" noThreeD="1"/>
</file>

<file path=xl/ctrlProps/ctrlProp139.xml><?xml version="1.0" encoding="utf-8"?>
<formControlPr xmlns="http://schemas.microsoft.com/office/spreadsheetml/2009/9/main" objectType="CheckBox" fmlaLink="$O$66" lockText="1" noThreeD="1"/>
</file>

<file path=xl/ctrlProps/ctrlProp140.xml><?xml version="1.0" encoding="utf-8"?>
<formControlPr xmlns="http://schemas.microsoft.com/office/spreadsheetml/2009/9/main" objectType="CheckBox" fmlaLink="$M$66" lockText="1" noThreeD="1"/>
</file>

<file path=xl/ctrlProps/ctrlProp141.xml><?xml version="1.0" encoding="utf-8"?>
<formControlPr xmlns="http://schemas.microsoft.com/office/spreadsheetml/2009/9/main" objectType="CheckBox" fmlaLink="$I$66" lockText="1" noThreeD="1"/>
</file>

<file path=xl/ctrlProps/ctrlProp142.xml><?xml version="1.0" encoding="utf-8"?>
<formControlPr xmlns="http://schemas.microsoft.com/office/spreadsheetml/2009/9/main" objectType="CheckBox" fmlaLink="$K$66" lockText="1" noThreeD="1"/>
</file>

<file path=xl/ctrlProps/ctrlProp143.xml><?xml version="1.0" encoding="utf-8"?>
<formControlPr xmlns="http://schemas.microsoft.com/office/spreadsheetml/2009/9/main" objectType="CheckBox" checked="Checked" fmlaLink="$O$63" lockText="1" noThreeD="1"/>
</file>

<file path=xl/ctrlProps/ctrlProp144.xml><?xml version="1.0" encoding="utf-8"?>
<formControlPr xmlns="http://schemas.microsoft.com/office/spreadsheetml/2009/9/main" objectType="CheckBox" fmlaLink="$M$63" lockText="1" noThreeD="1"/>
</file>

<file path=xl/ctrlProps/ctrlProp145.xml><?xml version="1.0" encoding="utf-8"?>
<formControlPr xmlns="http://schemas.microsoft.com/office/spreadsheetml/2009/9/main" objectType="CheckBox" fmlaLink="$I$63" lockText="1" noThreeD="1"/>
</file>

<file path=xl/ctrlProps/ctrlProp146.xml><?xml version="1.0" encoding="utf-8"?>
<formControlPr xmlns="http://schemas.microsoft.com/office/spreadsheetml/2009/9/main" objectType="CheckBox" fmlaLink="$K$63" lockText="1" noThreeD="1"/>
</file>

<file path=xl/ctrlProps/ctrlProp147.xml><?xml version="1.0" encoding="utf-8"?>
<formControlPr xmlns="http://schemas.microsoft.com/office/spreadsheetml/2009/9/main" objectType="CheckBox" fmlaLink="$O$84" lockText="1" noThreeD="1"/>
</file>

<file path=xl/ctrlProps/ctrlProp148.xml><?xml version="1.0" encoding="utf-8"?>
<formControlPr xmlns="http://schemas.microsoft.com/office/spreadsheetml/2009/9/main" objectType="CheckBox" fmlaLink="$M$84" lockText="1" noThreeD="1"/>
</file>

<file path=xl/ctrlProps/ctrlProp149.xml><?xml version="1.0" encoding="utf-8"?>
<formControlPr xmlns="http://schemas.microsoft.com/office/spreadsheetml/2009/9/main" objectType="CheckBox" fmlaLink="$I$84" lockText="1" noThreeD="1"/>
</file>

<file path=xl/ctrlProps/ctrlProp150.xml><?xml version="1.0" encoding="utf-8"?>
<formControlPr xmlns="http://schemas.microsoft.com/office/spreadsheetml/2009/9/main" objectType="CheckBox" fmlaLink="$K$84" lockText="1" noThreeD="1"/>
</file>

<file path=xl/ctrlProps/ctrlProp151.xml><?xml version="1.0" encoding="utf-8"?>
<formControlPr xmlns="http://schemas.microsoft.com/office/spreadsheetml/2009/9/main" objectType="CheckBox" fmlaLink="$O$85" lockText="1" noThreeD="1"/>
</file>

<file path=xl/ctrlProps/ctrlProp152.xml><?xml version="1.0" encoding="utf-8"?>
<formControlPr xmlns="http://schemas.microsoft.com/office/spreadsheetml/2009/9/main" objectType="CheckBox" fmlaLink="$M$85" lockText="1" noThreeD="1"/>
</file>

<file path=xl/ctrlProps/ctrlProp153.xml><?xml version="1.0" encoding="utf-8"?>
<formControlPr xmlns="http://schemas.microsoft.com/office/spreadsheetml/2009/9/main" objectType="CheckBox" fmlaLink="$I$85" lockText="1" noThreeD="1"/>
</file>

<file path=xl/ctrlProps/ctrlProp154.xml><?xml version="1.0" encoding="utf-8"?>
<formControlPr xmlns="http://schemas.microsoft.com/office/spreadsheetml/2009/9/main" objectType="CheckBox" fmlaLink="$K$85" lockText="1" noThreeD="1"/>
</file>

<file path=xl/ctrlProps/ctrlProp155.xml><?xml version="1.0" encoding="utf-8"?>
<formControlPr xmlns="http://schemas.microsoft.com/office/spreadsheetml/2009/9/main" objectType="CheckBox" fmlaLink="$S$85" lockText="1" noThreeD="1"/>
</file>

<file path=xl/ctrlProps/ctrlProp156.xml><?xml version="1.0" encoding="utf-8"?>
<formControlPr xmlns="http://schemas.microsoft.com/office/spreadsheetml/2009/9/main" objectType="CheckBox" fmlaLink="$Q$85" lockText="1" noThreeD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180975</xdr:rowOff>
        </xdr:from>
        <xdr:to>
          <xdr:col>2</xdr:col>
          <xdr:colOff>1104900</xdr:colOff>
          <xdr:row>48</xdr:row>
          <xdr:rowOff>19050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L1: dn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46</xdr:row>
          <xdr:rowOff>9525</xdr:rowOff>
        </xdr:from>
        <xdr:to>
          <xdr:col>1</xdr:col>
          <xdr:colOff>1762125</xdr:colOff>
          <xdr:row>46</xdr:row>
          <xdr:rowOff>180975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Spannungswandler 1 Wicklung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0</xdr:rowOff>
        </xdr:from>
        <xdr:to>
          <xdr:col>3</xdr:col>
          <xdr:colOff>323850</xdr:colOff>
          <xdr:row>47</xdr:row>
          <xdr:rowOff>9525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Spannungswandler 2 Wicklungen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1914525</xdr:colOff>
      <xdr:row>6</xdr:row>
      <xdr:rowOff>28575</xdr:rowOff>
    </xdr:from>
    <xdr:to>
      <xdr:col>1</xdr:col>
      <xdr:colOff>2000250</xdr:colOff>
      <xdr:row>6</xdr:row>
      <xdr:rowOff>47625</xdr:rowOff>
    </xdr:to>
    <xdr:pic>
      <xdr:nvPicPr>
        <xdr:cNvPr id="3080" name="CommandButton1">
          <a:extLst>
            <a:ext uri="{FF2B5EF4-FFF2-40B4-BE49-F238E27FC236}">
              <a16:creationId xmlns:a16="http://schemas.microsoft.com/office/drawing/2014/main" id="{97FE8CBB-7F90-A385-6280-E3FE2663268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53150" y="1238250"/>
          <a:ext cx="85725" cy="190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180975</xdr:rowOff>
        </xdr:from>
        <xdr:to>
          <xdr:col>1</xdr:col>
          <xdr:colOff>542925</xdr:colOff>
          <xdr:row>5</xdr:row>
          <xdr:rowOff>19050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Schäfer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1057275</xdr:colOff>
          <xdr:row>4</xdr:row>
          <xdr:rowOff>9525</xdr:rowOff>
        </xdr:from>
        <xdr:to>
          <xdr:col>1</xdr:col>
          <xdr:colOff>1752600</xdr:colOff>
          <xdr:row>5</xdr:row>
          <xdr:rowOff>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Helmchen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3</xdr:row>
          <xdr:rowOff>180975</xdr:rowOff>
        </xdr:from>
        <xdr:to>
          <xdr:col>1</xdr:col>
          <xdr:colOff>1095375</xdr:colOff>
          <xdr:row>5</xdr:row>
          <xdr:rowOff>28575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Fäthke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50</xdr:row>
          <xdr:rowOff>0</xdr:rowOff>
        </xdr:from>
        <xdr:to>
          <xdr:col>1</xdr:col>
          <xdr:colOff>561975</xdr:colOff>
          <xdr:row>50</xdr:row>
          <xdr:rowOff>219075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50</xdr:row>
          <xdr:rowOff>0</xdr:rowOff>
        </xdr:from>
        <xdr:to>
          <xdr:col>1</xdr:col>
          <xdr:colOff>1181100</xdr:colOff>
          <xdr:row>50</xdr:row>
          <xdr:rowOff>219075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11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50</xdr:row>
          <xdr:rowOff>0</xdr:rowOff>
        </xdr:from>
        <xdr:to>
          <xdr:col>1</xdr:col>
          <xdr:colOff>1924050</xdr:colOff>
          <xdr:row>50</xdr:row>
          <xdr:rowOff>228600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50</xdr:row>
          <xdr:rowOff>0</xdr:rowOff>
        </xdr:from>
        <xdr:to>
          <xdr:col>2</xdr:col>
          <xdr:colOff>1257300</xdr:colOff>
          <xdr:row>50</xdr:row>
          <xdr:rowOff>228600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180975</xdr:rowOff>
        </xdr:from>
        <xdr:to>
          <xdr:col>2</xdr:col>
          <xdr:colOff>1114425</xdr:colOff>
          <xdr:row>15</xdr:row>
          <xdr:rowOff>19050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171450</xdr:rowOff>
        </xdr:from>
        <xdr:to>
          <xdr:col>3</xdr:col>
          <xdr:colOff>1095375</xdr:colOff>
          <xdr:row>15</xdr:row>
          <xdr:rowOff>9525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Frequenzschutz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171450</xdr:rowOff>
        </xdr:from>
        <xdr:to>
          <xdr:col>2</xdr:col>
          <xdr:colOff>1114425</xdr:colOff>
          <xdr:row>16</xdr:row>
          <xdr:rowOff>9525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QU-Schutz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161925</xdr:rowOff>
        </xdr:from>
        <xdr:to>
          <xdr:col>3</xdr:col>
          <xdr:colOff>1095375</xdr:colOff>
          <xdr:row>16</xdr:row>
          <xdr:rowOff>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Bürdemessung?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9525</xdr:rowOff>
        </xdr:from>
        <xdr:to>
          <xdr:col>1</xdr:col>
          <xdr:colOff>1771650</xdr:colOff>
          <xdr:row>13</xdr:row>
          <xdr:rowOff>180975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Durchführung Primärprüfung?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0</xdr:rowOff>
        </xdr:from>
        <xdr:to>
          <xdr:col>2</xdr:col>
          <xdr:colOff>819150</xdr:colOff>
          <xdr:row>14</xdr:row>
          <xdr:rowOff>9525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15</xdr:row>
          <xdr:rowOff>180975</xdr:rowOff>
        </xdr:from>
        <xdr:to>
          <xdr:col>2</xdr:col>
          <xdr:colOff>1209675</xdr:colOff>
          <xdr:row>17</xdr:row>
          <xdr:rowOff>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Erdschlusserfassung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180975</xdr:rowOff>
        </xdr:from>
        <xdr:to>
          <xdr:col>1</xdr:col>
          <xdr:colOff>1133475</xdr:colOff>
          <xdr:row>35</xdr:row>
          <xdr:rowOff>19050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33</xdr:row>
          <xdr:rowOff>180975</xdr:rowOff>
        </xdr:from>
        <xdr:to>
          <xdr:col>2</xdr:col>
          <xdr:colOff>1162050</xdr:colOff>
          <xdr:row>35</xdr:row>
          <xdr:rowOff>19050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180975</xdr:rowOff>
        </xdr:from>
        <xdr:to>
          <xdr:col>3</xdr:col>
          <xdr:colOff>1143000</xdr:colOff>
          <xdr:row>35</xdr:row>
          <xdr:rowOff>19050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40</xdr:row>
          <xdr:rowOff>180975</xdr:rowOff>
        </xdr:from>
        <xdr:to>
          <xdr:col>1</xdr:col>
          <xdr:colOff>1133475</xdr:colOff>
          <xdr:row>42</xdr:row>
          <xdr:rowOff>19050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40</xdr:row>
          <xdr:rowOff>180975</xdr:rowOff>
        </xdr:from>
        <xdr:to>
          <xdr:col>2</xdr:col>
          <xdr:colOff>1162050</xdr:colOff>
          <xdr:row>42</xdr:row>
          <xdr:rowOff>19050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41</xdr:row>
          <xdr:rowOff>171450</xdr:rowOff>
        </xdr:from>
        <xdr:to>
          <xdr:col>1</xdr:col>
          <xdr:colOff>1133475</xdr:colOff>
          <xdr:row>43</xdr:row>
          <xdr:rowOff>9525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41</xdr:row>
          <xdr:rowOff>171450</xdr:rowOff>
        </xdr:from>
        <xdr:to>
          <xdr:col>2</xdr:col>
          <xdr:colOff>1162050</xdr:colOff>
          <xdr:row>43</xdr:row>
          <xdr:rowOff>9525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37</xdr:row>
          <xdr:rowOff>9525</xdr:rowOff>
        </xdr:from>
        <xdr:to>
          <xdr:col>3</xdr:col>
          <xdr:colOff>685800</xdr:colOff>
          <xdr:row>38</xdr:row>
          <xdr:rowOff>9525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Kabelumbauwandler vorhanden?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28</xdr:row>
          <xdr:rowOff>171450</xdr:rowOff>
        </xdr:from>
        <xdr:to>
          <xdr:col>3</xdr:col>
          <xdr:colOff>923925</xdr:colOff>
          <xdr:row>29</xdr:row>
          <xdr:rowOff>180975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 VOR Strom?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19050</xdr:colOff>
      <xdr:row>6</xdr:row>
      <xdr:rowOff>9525</xdr:rowOff>
    </xdr:from>
    <xdr:to>
      <xdr:col>2</xdr:col>
      <xdr:colOff>1285875</xdr:colOff>
      <xdr:row>6</xdr:row>
      <xdr:rowOff>314325</xdr:rowOff>
    </xdr:to>
    <xdr:pic>
      <xdr:nvPicPr>
        <xdr:cNvPr id="3117" name="CommandButton2">
          <a:extLst>
            <a:ext uri="{FF2B5EF4-FFF2-40B4-BE49-F238E27FC236}">
              <a16:creationId xmlns:a16="http://schemas.microsoft.com/office/drawing/2014/main" id="{2893DEE9-9220-2558-4DCC-B841DECB0E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1219200"/>
          <a:ext cx="1266825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39</xdr:row>
          <xdr:rowOff>161925</xdr:rowOff>
        </xdr:from>
        <xdr:to>
          <xdr:col>1</xdr:col>
          <xdr:colOff>838200</xdr:colOff>
          <xdr:row>41</xdr:row>
          <xdr:rowOff>9525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161925</xdr:rowOff>
        </xdr:from>
        <xdr:to>
          <xdr:col>1</xdr:col>
          <xdr:colOff>457200</xdr:colOff>
          <xdr:row>41</xdr:row>
          <xdr:rowOff>9525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39</xdr:row>
          <xdr:rowOff>152400</xdr:rowOff>
        </xdr:from>
        <xdr:to>
          <xdr:col>2</xdr:col>
          <xdr:colOff>866775</xdr:colOff>
          <xdr:row>41</xdr:row>
          <xdr:rowOff>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39</xdr:row>
          <xdr:rowOff>152400</xdr:rowOff>
        </xdr:from>
        <xdr:to>
          <xdr:col>2</xdr:col>
          <xdr:colOff>495300</xdr:colOff>
          <xdr:row>41</xdr:row>
          <xdr:rowOff>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0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180975</xdr:rowOff>
        </xdr:from>
        <xdr:to>
          <xdr:col>3</xdr:col>
          <xdr:colOff>1095375</xdr:colOff>
          <xdr:row>17</xdr:row>
          <xdr:rowOff>19050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Isolationsmessung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1704975</xdr:colOff>
          <xdr:row>3</xdr:row>
          <xdr:rowOff>171450</xdr:rowOff>
        </xdr:from>
        <xdr:to>
          <xdr:col>2</xdr:col>
          <xdr:colOff>238125</xdr:colOff>
          <xdr:row>5</xdr:row>
          <xdr:rowOff>19050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0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Schmidt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990600</xdr:colOff>
          <xdr:row>22</xdr:row>
          <xdr:rowOff>180975</xdr:rowOff>
        </xdr:from>
        <xdr:to>
          <xdr:col>3</xdr:col>
          <xdr:colOff>219075</xdr:colOff>
          <xdr:row>24</xdr:row>
          <xdr:rowOff>9525</xdr:rowOff>
        </xdr:to>
        <xdr:sp macro="" textlink="">
          <xdr:nvSpPr>
            <xdr:cNvPr id="3133" name="Check Box 61" descr="57,7V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0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230V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22</xdr:row>
          <xdr:rowOff>180975</xdr:rowOff>
        </xdr:from>
        <xdr:to>
          <xdr:col>3</xdr:col>
          <xdr:colOff>923925</xdr:colOff>
          <xdr:row>24</xdr:row>
          <xdr:rowOff>9525</xdr:rowOff>
        </xdr:to>
        <xdr:sp macro="" textlink="">
          <xdr:nvSpPr>
            <xdr:cNvPr id="3134" name="Check Box 62" descr="57,7V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0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Ph-Ph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22</xdr:row>
          <xdr:rowOff>180975</xdr:rowOff>
        </xdr:from>
        <xdr:to>
          <xdr:col>2</xdr:col>
          <xdr:colOff>914400</xdr:colOff>
          <xdr:row>24</xdr:row>
          <xdr:rowOff>9525</xdr:rowOff>
        </xdr:to>
        <xdr:sp macro="" textlink="">
          <xdr:nvSpPr>
            <xdr:cNvPr id="3132" name="Check Box 60" descr="57,7V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0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57,7 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28575</xdr:rowOff>
        </xdr:from>
        <xdr:to>
          <xdr:col>1</xdr:col>
          <xdr:colOff>1476375</xdr:colOff>
          <xdr:row>70</xdr:row>
          <xdr:rowOff>180975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MS-LS durch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71</xdr:row>
          <xdr:rowOff>0</xdr:rowOff>
        </xdr:from>
        <xdr:to>
          <xdr:col>2</xdr:col>
          <xdr:colOff>57150</xdr:colOff>
          <xdr:row>72</xdr:row>
          <xdr:rowOff>19050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MS-LS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85725</xdr:colOff>
          <xdr:row>69</xdr:row>
          <xdr:rowOff>171450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 LS nach Ausfall Hilfsenergie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83</xdr:row>
          <xdr:rowOff>161925</xdr:rowOff>
        </xdr:from>
        <xdr:to>
          <xdr:col>3</xdr:col>
          <xdr:colOff>47625</xdr:colOff>
          <xdr:row>85</xdr:row>
          <xdr:rowOff>28575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0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83</xdr:row>
          <xdr:rowOff>9525</xdr:rowOff>
        </xdr:from>
        <xdr:to>
          <xdr:col>3</xdr:col>
          <xdr:colOff>66675</xdr:colOff>
          <xdr:row>84</xdr:row>
          <xdr:rowOff>0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0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nach Ausfall der Hilfsenergie?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800100</xdr:colOff>
          <xdr:row>14</xdr:row>
          <xdr:rowOff>9525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UMZ Ie&gt;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19</xdr:row>
          <xdr:rowOff>0</xdr:rowOff>
        </xdr:from>
        <xdr:to>
          <xdr:col>1</xdr:col>
          <xdr:colOff>1924050</xdr:colOff>
          <xdr:row>20</xdr:row>
          <xdr:rowOff>0</xdr:rowOff>
        </xdr:to>
        <xdr:sp macro="" textlink="">
          <xdr:nvSpPr>
            <xdr:cNvPr id="3143" name="Check Box 71" descr="57,7V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0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identisch zu Schutz NAP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20</xdr:row>
          <xdr:rowOff>0</xdr:rowOff>
        </xdr:from>
        <xdr:to>
          <xdr:col>1</xdr:col>
          <xdr:colOff>1924050</xdr:colOff>
          <xdr:row>21</xdr:row>
          <xdr:rowOff>0</xdr:rowOff>
        </xdr:to>
        <xdr:sp macro="" textlink="">
          <xdr:nvSpPr>
            <xdr:cNvPr id="3145" name="Check Box 73" descr="57,7V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identisch zu Schutz NAP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24</xdr:row>
          <xdr:rowOff>180975</xdr:rowOff>
        </xdr:from>
        <xdr:to>
          <xdr:col>3</xdr:col>
          <xdr:colOff>1047750</xdr:colOff>
          <xdr:row>26</xdr:row>
          <xdr:rowOff>9525</xdr:rowOff>
        </xdr:to>
        <xdr:sp macro="" textlink="">
          <xdr:nvSpPr>
            <xdr:cNvPr id="3135" name="Check Box 63" descr="57,7V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0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0,4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1238250</xdr:colOff>
          <xdr:row>24</xdr:row>
          <xdr:rowOff>180975</xdr:rowOff>
        </xdr:from>
        <xdr:to>
          <xdr:col>3</xdr:col>
          <xdr:colOff>466725</xdr:colOff>
          <xdr:row>26</xdr:row>
          <xdr:rowOff>9525</xdr:rowOff>
        </xdr:to>
        <xdr:sp macro="" textlink="">
          <xdr:nvSpPr>
            <xdr:cNvPr id="3136" name="Check Box 64" descr="57,7V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0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0,8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171450</xdr:rowOff>
        </xdr:from>
        <xdr:to>
          <xdr:col>1</xdr:col>
          <xdr:colOff>1133475</xdr:colOff>
          <xdr:row>36</xdr:row>
          <xdr:rowOff>9525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34</xdr:row>
          <xdr:rowOff>171450</xdr:rowOff>
        </xdr:from>
        <xdr:to>
          <xdr:col>2</xdr:col>
          <xdr:colOff>1162050</xdr:colOff>
          <xdr:row>36</xdr:row>
          <xdr:rowOff>9525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171450</xdr:rowOff>
        </xdr:from>
        <xdr:to>
          <xdr:col>3</xdr:col>
          <xdr:colOff>1143000</xdr:colOff>
          <xdr:row>36</xdr:row>
          <xdr:rowOff>9525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180975</xdr:rowOff>
        </xdr:from>
        <xdr:to>
          <xdr:col>1</xdr:col>
          <xdr:colOff>571500</xdr:colOff>
          <xdr:row>26</xdr:row>
          <xdr:rowOff>9525</xdr:rowOff>
        </xdr:to>
        <xdr:sp macro="" textlink="">
          <xdr:nvSpPr>
            <xdr:cNvPr id="3149" name="Check Box 77" descr="57,7V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0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24</xdr:row>
          <xdr:rowOff>180975</xdr:rowOff>
        </xdr:from>
        <xdr:to>
          <xdr:col>1</xdr:col>
          <xdr:colOff>1076325</xdr:colOff>
          <xdr:row>26</xdr:row>
          <xdr:rowOff>9525</xdr:rowOff>
        </xdr:to>
        <xdr:sp macro="" textlink="">
          <xdr:nvSpPr>
            <xdr:cNvPr id="3150" name="Check Box 78" descr="57,7V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0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11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24</xdr:row>
          <xdr:rowOff>180975</xdr:rowOff>
        </xdr:from>
        <xdr:to>
          <xdr:col>1</xdr:col>
          <xdr:colOff>1600200</xdr:colOff>
          <xdr:row>26</xdr:row>
          <xdr:rowOff>9525</xdr:rowOff>
        </xdr:to>
        <xdr:sp macro="" textlink="">
          <xdr:nvSpPr>
            <xdr:cNvPr id="3151" name="Check Box 79" descr="57,7V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0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24</xdr:row>
          <xdr:rowOff>180975</xdr:rowOff>
        </xdr:from>
        <xdr:to>
          <xdr:col>2</xdr:col>
          <xdr:colOff>0</xdr:colOff>
          <xdr:row>26</xdr:row>
          <xdr:rowOff>9525</xdr:rowOff>
        </xdr:to>
        <xdr:sp macro="" textlink="">
          <xdr:nvSpPr>
            <xdr:cNvPr id="3152" name="Check Box 80" descr="57,7V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0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47</xdr:row>
          <xdr:rowOff>171450</xdr:rowOff>
        </xdr:from>
        <xdr:to>
          <xdr:col>2</xdr:col>
          <xdr:colOff>1104900</xdr:colOff>
          <xdr:row>49</xdr:row>
          <xdr:rowOff>9525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2009775</xdr:colOff>
          <xdr:row>50</xdr:row>
          <xdr:rowOff>19050</xdr:rowOff>
        </xdr:from>
        <xdr:to>
          <xdr:col>2</xdr:col>
          <xdr:colOff>504825</xdr:colOff>
          <xdr:row>50</xdr:row>
          <xdr:rowOff>228600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0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1247775</xdr:colOff>
          <xdr:row>46</xdr:row>
          <xdr:rowOff>171450</xdr:rowOff>
        </xdr:from>
        <xdr:to>
          <xdr:col>3</xdr:col>
          <xdr:colOff>1000125</xdr:colOff>
          <xdr:row>48</xdr:row>
          <xdr:rowOff>9525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L3: dn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1247775</xdr:colOff>
          <xdr:row>47</xdr:row>
          <xdr:rowOff>161925</xdr:rowOff>
        </xdr:from>
        <xdr:to>
          <xdr:col>3</xdr:col>
          <xdr:colOff>1000125</xdr:colOff>
          <xdr:row>49</xdr:row>
          <xdr:rowOff>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29</xdr:row>
          <xdr:rowOff>171450</xdr:rowOff>
        </xdr:from>
        <xdr:to>
          <xdr:col>3</xdr:col>
          <xdr:colOff>895350</xdr:colOff>
          <xdr:row>31</xdr:row>
          <xdr:rowOff>9525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Einbaulage P1-SS VNB?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30</xdr:row>
          <xdr:rowOff>180975</xdr:rowOff>
        </xdr:from>
        <xdr:to>
          <xdr:col>1</xdr:col>
          <xdr:colOff>828675</xdr:colOff>
          <xdr:row>32</xdr:row>
          <xdr:rowOff>47625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30</xdr:row>
          <xdr:rowOff>180975</xdr:rowOff>
        </xdr:from>
        <xdr:to>
          <xdr:col>1</xdr:col>
          <xdr:colOff>447675</xdr:colOff>
          <xdr:row>32</xdr:row>
          <xdr:rowOff>47625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30</xdr:row>
          <xdr:rowOff>171450</xdr:rowOff>
        </xdr:from>
        <xdr:to>
          <xdr:col>2</xdr:col>
          <xdr:colOff>857250</xdr:colOff>
          <xdr:row>32</xdr:row>
          <xdr:rowOff>38100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30</xdr:row>
          <xdr:rowOff>171450</xdr:rowOff>
        </xdr:from>
        <xdr:to>
          <xdr:col>2</xdr:col>
          <xdr:colOff>485775</xdr:colOff>
          <xdr:row>32</xdr:row>
          <xdr:rowOff>38100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30</xdr:row>
          <xdr:rowOff>171450</xdr:rowOff>
        </xdr:from>
        <xdr:to>
          <xdr:col>3</xdr:col>
          <xdr:colOff>828675</xdr:colOff>
          <xdr:row>32</xdr:row>
          <xdr:rowOff>38100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30</xdr:row>
          <xdr:rowOff>171450</xdr:rowOff>
        </xdr:from>
        <xdr:to>
          <xdr:col>3</xdr:col>
          <xdr:colOff>457200</xdr:colOff>
          <xdr:row>32</xdr:row>
          <xdr:rowOff>38100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990600</xdr:colOff>
          <xdr:row>42</xdr:row>
          <xdr:rowOff>171450</xdr:rowOff>
        </xdr:from>
        <xdr:to>
          <xdr:col>3</xdr:col>
          <xdr:colOff>904875</xdr:colOff>
          <xdr:row>44</xdr:row>
          <xdr:rowOff>9525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0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Einbaulage P1-SS VNB?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86</xdr:row>
          <xdr:rowOff>161925</xdr:rowOff>
        </xdr:from>
        <xdr:to>
          <xdr:col>3</xdr:col>
          <xdr:colOff>1019175</xdr:colOff>
          <xdr:row>88</xdr:row>
          <xdr:rowOff>28575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0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AWZ = 600 Sek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86</xdr:row>
          <xdr:rowOff>161925</xdr:rowOff>
        </xdr:from>
        <xdr:to>
          <xdr:col>2</xdr:col>
          <xdr:colOff>1238250</xdr:colOff>
          <xdr:row>88</xdr:row>
          <xdr:rowOff>28575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0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AWZ = 900 Sek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3</xdr:row>
          <xdr:rowOff>161925</xdr:rowOff>
        </xdr:from>
        <xdr:to>
          <xdr:col>2</xdr:col>
          <xdr:colOff>704850</xdr:colOff>
          <xdr:row>5</xdr:row>
          <xdr:rowOff>9525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0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Koehn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3</xdr:row>
          <xdr:rowOff>161925</xdr:rowOff>
        </xdr:from>
        <xdr:to>
          <xdr:col>2</xdr:col>
          <xdr:colOff>1228725</xdr:colOff>
          <xdr:row>5</xdr:row>
          <xdr:rowOff>9525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0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Wendt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69</xdr:row>
          <xdr:rowOff>0</xdr:rowOff>
        </xdr:from>
        <xdr:to>
          <xdr:col>3</xdr:col>
          <xdr:colOff>1085850</xdr:colOff>
          <xdr:row>70</xdr:row>
          <xdr:rowOff>9525</xdr:rowOff>
        </xdr:to>
        <xdr:sp macro="" textlink="">
          <xdr:nvSpPr>
            <xdr:cNvPr id="3176" name="Check Box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 LS nach Ausfall Hilfsenergie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70</xdr:row>
          <xdr:rowOff>0</xdr:rowOff>
        </xdr:from>
        <xdr:to>
          <xdr:col>3</xdr:col>
          <xdr:colOff>314325</xdr:colOff>
          <xdr:row>71</xdr:row>
          <xdr:rowOff>57150</xdr:rowOff>
        </xdr:to>
        <xdr:sp macro="" textlink="">
          <xdr:nvSpPr>
            <xdr:cNvPr id="3177" name="Check Box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0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NS-LS durch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71</xdr:row>
          <xdr:rowOff>19050</xdr:rowOff>
        </xdr:from>
        <xdr:to>
          <xdr:col>3</xdr:col>
          <xdr:colOff>914400</xdr:colOff>
          <xdr:row>72</xdr:row>
          <xdr:rowOff>9525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NS-LS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38</xdr:row>
          <xdr:rowOff>19050</xdr:rowOff>
        </xdr:from>
        <xdr:to>
          <xdr:col>3</xdr:col>
          <xdr:colOff>990600</xdr:colOff>
          <xdr:row>39</xdr:row>
          <xdr:rowOff>0</xdr:rowOff>
        </xdr:to>
        <xdr:sp macro="" textlink="">
          <xdr:nvSpPr>
            <xdr:cNvPr id="3179" name="Check Box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 VOR Strom?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1219200</xdr:colOff>
          <xdr:row>3</xdr:row>
          <xdr:rowOff>171450</xdr:rowOff>
        </xdr:from>
        <xdr:to>
          <xdr:col>3</xdr:col>
          <xdr:colOff>600075</xdr:colOff>
          <xdr:row>5</xdr:row>
          <xdr:rowOff>19050</xdr:rowOff>
        </xdr:to>
        <xdr:sp macro="" textlink="">
          <xdr:nvSpPr>
            <xdr:cNvPr id="3180" name="Check Box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Mummhardt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3</xdr:row>
          <xdr:rowOff>171450</xdr:rowOff>
        </xdr:from>
        <xdr:to>
          <xdr:col>3</xdr:col>
          <xdr:colOff>1400175</xdr:colOff>
          <xdr:row>5</xdr:row>
          <xdr:rowOff>19050</xdr:rowOff>
        </xdr:to>
        <xdr:sp macro="" textlink="">
          <xdr:nvSpPr>
            <xdr:cNvPr id="3181" name="Check Box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0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Kolzer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1047750</xdr:colOff>
          <xdr:row>13</xdr:row>
          <xdr:rowOff>0</xdr:rowOff>
        </xdr:from>
        <xdr:to>
          <xdr:col>4</xdr:col>
          <xdr:colOff>542925</xdr:colOff>
          <xdr:row>14</xdr:row>
          <xdr:rowOff>9525</xdr:rowOff>
        </xdr:to>
        <xdr:sp macro="" textlink="">
          <xdr:nvSpPr>
            <xdr:cNvPr id="3183" name="Check Box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0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Pave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45</xdr:row>
          <xdr:rowOff>152400</xdr:rowOff>
        </xdr:from>
        <xdr:to>
          <xdr:col>2</xdr:col>
          <xdr:colOff>3181350</xdr:colOff>
          <xdr:row>47</xdr:row>
          <xdr:rowOff>66675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45</xdr:row>
          <xdr:rowOff>152400</xdr:rowOff>
        </xdr:from>
        <xdr:to>
          <xdr:col>2</xdr:col>
          <xdr:colOff>561975</xdr:colOff>
          <xdr:row>47</xdr:row>
          <xdr:rowOff>66675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45</xdr:row>
          <xdr:rowOff>152400</xdr:rowOff>
        </xdr:from>
        <xdr:to>
          <xdr:col>2</xdr:col>
          <xdr:colOff>2457450</xdr:colOff>
          <xdr:row>47</xdr:row>
          <xdr:rowOff>66675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45</xdr:row>
          <xdr:rowOff>152400</xdr:rowOff>
        </xdr:from>
        <xdr:to>
          <xdr:col>2</xdr:col>
          <xdr:colOff>1809750</xdr:colOff>
          <xdr:row>47</xdr:row>
          <xdr:rowOff>66675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2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45</xdr:row>
          <xdr:rowOff>152400</xdr:rowOff>
        </xdr:from>
        <xdr:to>
          <xdr:col>2</xdr:col>
          <xdr:colOff>1228725</xdr:colOff>
          <xdr:row>47</xdr:row>
          <xdr:rowOff>66675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47</xdr:row>
          <xdr:rowOff>123825</xdr:rowOff>
        </xdr:from>
        <xdr:to>
          <xdr:col>2</xdr:col>
          <xdr:colOff>3181350</xdr:colOff>
          <xdr:row>49</xdr:row>
          <xdr:rowOff>38100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2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47</xdr:row>
          <xdr:rowOff>133350</xdr:rowOff>
        </xdr:from>
        <xdr:to>
          <xdr:col>2</xdr:col>
          <xdr:colOff>561975</xdr:colOff>
          <xdr:row>49</xdr:row>
          <xdr:rowOff>47625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2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47</xdr:row>
          <xdr:rowOff>133350</xdr:rowOff>
        </xdr:from>
        <xdr:to>
          <xdr:col>2</xdr:col>
          <xdr:colOff>2457450</xdr:colOff>
          <xdr:row>49</xdr:row>
          <xdr:rowOff>47625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2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47</xdr:row>
          <xdr:rowOff>133350</xdr:rowOff>
        </xdr:from>
        <xdr:to>
          <xdr:col>2</xdr:col>
          <xdr:colOff>1809750</xdr:colOff>
          <xdr:row>49</xdr:row>
          <xdr:rowOff>47625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2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47</xdr:row>
          <xdr:rowOff>133350</xdr:rowOff>
        </xdr:from>
        <xdr:to>
          <xdr:col>2</xdr:col>
          <xdr:colOff>1228725</xdr:colOff>
          <xdr:row>49</xdr:row>
          <xdr:rowOff>47625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2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49</xdr:row>
          <xdr:rowOff>123825</xdr:rowOff>
        </xdr:from>
        <xdr:to>
          <xdr:col>2</xdr:col>
          <xdr:colOff>3181350</xdr:colOff>
          <xdr:row>51</xdr:row>
          <xdr:rowOff>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2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49</xdr:row>
          <xdr:rowOff>133350</xdr:rowOff>
        </xdr:from>
        <xdr:to>
          <xdr:col>2</xdr:col>
          <xdr:colOff>561975</xdr:colOff>
          <xdr:row>51</xdr:row>
          <xdr:rowOff>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2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49</xdr:row>
          <xdr:rowOff>133350</xdr:rowOff>
        </xdr:from>
        <xdr:to>
          <xdr:col>2</xdr:col>
          <xdr:colOff>2457450</xdr:colOff>
          <xdr:row>51</xdr:row>
          <xdr:rowOff>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2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49</xdr:row>
          <xdr:rowOff>133350</xdr:rowOff>
        </xdr:from>
        <xdr:to>
          <xdr:col>2</xdr:col>
          <xdr:colOff>1809750</xdr:colOff>
          <xdr:row>51</xdr:row>
          <xdr:rowOff>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2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49</xdr:row>
          <xdr:rowOff>133350</xdr:rowOff>
        </xdr:from>
        <xdr:to>
          <xdr:col>2</xdr:col>
          <xdr:colOff>1228725</xdr:colOff>
          <xdr:row>51</xdr:row>
          <xdr:rowOff>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2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41</xdr:row>
          <xdr:rowOff>133350</xdr:rowOff>
        </xdr:from>
        <xdr:to>
          <xdr:col>2</xdr:col>
          <xdr:colOff>1924050</xdr:colOff>
          <xdr:row>43</xdr:row>
          <xdr:rowOff>47625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2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40</xdr:row>
          <xdr:rowOff>9525</xdr:rowOff>
        </xdr:from>
        <xdr:to>
          <xdr:col>2</xdr:col>
          <xdr:colOff>1238250</xdr:colOff>
          <xdr:row>41</xdr:row>
          <xdr:rowOff>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2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40</xdr:row>
          <xdr:rowOff>19050</xdr:rowOff>
        </xdr:from>
        <xdr:to>
          <xdr:col>2</xdr:col>
          <xdr:colOff>590550</xdr:colOff>
          <xdr:row>41</xdr:row>
          <xdr:rowOff>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2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43</xdr:row>
          <xdr:rowOff>133350</xdr:rowOff>
        </xdr:from>
        <xdr:to>
          <xdr:col>2</xdr:col>
          <xdr:colOff>1924050</xdr:colOff>
          <xdr:row>45</xdr:row>
          <xdr:rowOff>47625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2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41</xdr:row>
          <xdr:rowOff>152400</xdr:rowOff>
        </xdr:from>
        <xdr:to>
          <xdr:col>2</xdr:col>
          <xdr:colOff>1238250</xdr:colOff>
          <xdr:row>43</xdr:row>
          <xdr:rowOff>66675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2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41</xdr:row>
          <xdr:rowOff>152400</xdr:rowOff>
        </xdr:from>
        <xdr:to>
          <xdr:col>2</xdr:col>
          <xdr:colOff>590550</xdr:colOff>
          <xdr:row>43</xdr:row>
          <xdr:rowOff>66675</xdr:rowOff>
        </xdr:to>
        <xdr:sp macro="" textlink="">
          <xdr:nvSpPr>
            <xdr:cNvPr id="5168" name="Check Box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2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43</xdr:row>
          <xdr:rowOff>133350</xdr:rowOff>
        </xdr:from>
        <xdr:to>
          <xdr:col>2</xdr:col>
          <xdr:colOff>2533650</xdr:colOff>
          <xdr:row>45</xdr:row>
          <xdr:rowOff>47625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2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(6P)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1276350</xdr:colOff>
          <xdr:row>40</xdr:row>
          <xdr:rowOff>9525</xdr:rowOff>
        </xdr:from>
        <xdr:to>
          <xdr:col>2</xdr:col>
          <xdr:colOff>1905000</xdr:colOff>
          <xdr:row>41</xdr:row>
          <xdr:rowOff>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2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60</xdr:row>
          <xdr:rowOff>19050</xdr:rowOff>
        </xdr:from>
        <xdr:to>
          <xdr:col>2</xdr:col>
          <xdr:colOff>2152650</xdr:colOff>
          <xdr:row>60</xdr:row>
          <xdr:rowOff>180975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2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1095375</xdr:colOff>
          <xdr:row>60</xdr:row>
          <xdr:rowOff>19050</xdr:rowOff>
        </xdr:from>
        <xdr:to>
          <xdr:col>2</xdr:col>
          <xdr:colOff>1628775</xdr:colOff>
          <xdr:row>61</xdr:row>
          <xdr:rowOff>0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2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60</xdr:row>
          <xdr:rowOff>0</xdr:rowOff>
        </xdr:from>
        <xdr:to>
          <xdr:col>2</xdr:col>
          <xdr:colOff>495300</xdr:colOff>
          <xdr:row>61</xdr:row>
          <xdr:rowOff>19050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2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60</xdr:row>
          <xdr:rowOff>19050</xdr:rowOff>
        </xdr:from>
        <xdr:to>
          <xdr:col>2</xdr:col>
          <xdr:colOff>1066800</xdr:colOff>
          <xdr:row>61</xdr:row>
          <xdr:rowOff>9525</xdr:rowOff>
        </xdr:to>
        <xdr:sp macro="" textlink="">
          <xdr:nvSpPr>
            <xdr:cNvPr id="5191" name="Check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2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60</xdr:row>
          <xdr:rowOff>152400</xdr:rowOff>
        </xdr:from>
        <xdr:to>
          <xdr:col>2</xdr:col>
          <xdr:colOff>2152650</xdr:colOff>
          <xdr:row>62</xdr:row>
          <xdr:rowOff>66675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2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60</xdr:row>
          <xdr:rowOff>152400</xdr:rowOff>
        </xdr:from>
        <xdr:to>
          <xdr:col>2</xdr:col>
          <xdr:colOff>1638300</xdr:colOff>
          <xdr:row>62</xdr:row>
          <xdr:rowOff>66675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2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60</xdr:row>
          <xdr:rowOff>152400</xdr:rowOff>
        </xdr:from>
        <xdr:to>
          <xdr:col>2</xdr:col>
          <xdr:colOff>495300</xdr:colOff>
          <xdr:row>62</xdr:row>
          <xdr:rowOff>66675</xdr:rowOff>
        </xdr:to>
        <xdr:sp macro="" textlink="">
          <xdr:nvSpPr>
            <xdr:cNvPr id="5194" name="Check Box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2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60</xdr:row>
          <xdr:rowOff>152400</xdr:rowOff>
        </xdr:from>
        <xdr:to>
          <xdr:col>2</xdr:col>
          <xdr:colOff>1066800</xdr:colOff>
          <xdr:row>62</xdr:row>
          <xdr:rowOff>66675</xdr:rowOff>
        </xdr:to>
        <xdr:sp macro="" textlink="">
          <xdr:nvSpPr>
            <xdr:cNvPr id="5195" name="Check Box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2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2657475</xdr:colOff>
          <xdr:row>78</xdr:row>
          <xdr:rowOff>38100</xdr:rowOff>
        </xdr:from>
        <xdr:to>
          <xdr:col>2</xdr:col>
          <xdr:colOff>2981325</xdr:colOff>
          <xdr:row>78</xdr:row>
          <xdr:rowOff>180975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2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2228850</xdr:colOff>
          <xdr:row>78</xdr:row>
          <xdr:rowOff>19050</xdr:rowOff>
        </xdr:from>
        <xdr:to>
          <xdr:col>2</xdr:col>
          <xdr:colOff>2657475</xdr:colOff>
          <xdr:row>79</xdr:row>
          <xdr:rowOff>0</xdr:rowOff>
        </xdr:to>
        <xdr:sp macro="" textlink="">
          <xdr:nvSpPr>
            <xdr:cNvPr id="5205" name="Check Box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2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78</xdr:row>
          <xdr:rowOff>9525</xdr:rowOff>
        </xdr:from>
        <xdr:to>
          <xdr:col>2</xdr:col>
          <xdr:colOff>447675</xdr:colOff>
          <xdr:row>79</xdr:row>
          <xdr:rowOff>9525</xdr:rowOff>
        </xdr:to>
        <xdr:sp macro="" textlink="">
          <xdr:nvSpPr>
            <xdr:cNvPr id="5206" name="Check Box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2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78</xdr:row>
          <xdr:rowOff>28575</xdr:rowOff>
        </xdr:from>
        <xdr:to>
          <xdr:col>2</xdr:col>
          <xdr:colOff>838200</xdr:colOff>
          <xdr:row>79</xdr:row>
          <xdr:rowOff>0</xdr:rowOff>
        </xdr:to>
        <xdr:sp macro="" textlink="">
          <xdr:nvSpPr>
            <xdr:cNvPr id="5207" name="Check Box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2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78</xdr:row>
          <xdr:rowOff>28575</xdr:rowOff>
        </xdr:from>
        <xdr:to>
          <xdr:col>2</xdr:col>
          <xdr:colOff>3324225</xdr:colOff>
          <xdr:row>78</xdr:row>
          <xdr:rowOff>190500</xdr:rowOff>
        </xdr:to>
        <xdr:sp macro="" textlink="">
          <xdr:nvSpPr>
            <xdr:cNvPr id="5208" name="Check Box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2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3371850</xdr:colOff>
          <xdr:row>78</xdr:row>
          <xdr:rowOff>9525</xdr:rowOff>
        </xdr:from>
        <xdr:to>
          <xdr:col>2</xdr:col>
          <xdr:colOff>3733800</xdr:colOff>
          <xdr:row>79</xdr:row>
          <xdr:rowOff>9525</xdr:rowOff>
        </xdr:to>
        <xdr:sp macro="" textlink="">
          <xdr:nvSpPr>
            <xdr:cNvPr id="5209" name="Check Box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2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1019175</xdr:colOff>
          <xdr:row>79</xdr:row>
          <xdr:rowOff>9525</xdr:rowOff>
        </xdr:from>
        <xdr:to>
          <xdr:col>2</xdr:col>
          <xdr:colOff>1381125</xdr:colOff>
          <xdr:row>79</xdr:row>
          <xdr:rowOff>142875</xdr:rowOff>
        </xdr:to>
        <xdr:sp macro="" textlink="">
          <xdr:nvSpPr>
            <xdr:cNvPr id="5211" name="Check Box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2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1409700</xdr:colOff>
          <xdr:row>79</xdr:row>
          <xdr:rowOff>9525</xdr:rowOff>
        </xdr:from>
        <xdr:to>
          <xdr:col>2</xdr:col>
          <xdr:colOff>1781175</xdr:colOff>
          <xdr:row>79</xdr:row>
          <xdr:rowOff>152400</xdr:rowOff>
        </xdr:to>
        <xdr:sp macro="" textlink="">
          <xdr:nvSpPr>
            <xdr:cNvPr id="5212" name="Check Box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2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4819650</xdr:colOff>
          <xdr:row>78</xdr:row>
          <xdr:rowOff>9525</xdr:rowOff>
        </xdr:from>
        <xdr:to>
          <xdr:col>0</xdr:col>
          <xdr:colOff>5172075</xdr:colOff>
          <xdr:row>78</xdr:row>
          <xdr:rowOff>171450</xdr:rowOff>
        </xdr:to>
        <xdr:sp macro="" textlink="">
          <xdr:nvSpPr>
            <xdr:cNvPr id="5213" name="Check Box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2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4791075</xdr:colOff>
          <xdr:row>80</xdr:row>
          <xdr:rowOff>9525</xdr:rowOff>
        </xdr:from>
        <xdr:to>
          <xdr:col>0</xdr:col>
          <xdr:colOff>5172075</xdr:colOff>
          <xdr:row>80</xdr:row>
          <xdr:rowOff>152400</xdr:rowOff>
        </xdr:to>
        <xdr:sp macro="" textlink="">
          <xdr:nvSpPr>
            <xdr:cNvPr id="5214" name="Check Box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2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4781550</xdr:colOff>
          <xdr:row>79</xdr:row>
          <xdr:rowOff>9525</xdr:rowOff>
        </xdr:from>
        <xdr:to>
          <xdr:col>0</xdr:col>
          <xdr:colOff>5172075</xdr:colOff>
          <xdr:row>79</xdr:row>
          <xdr:rowOff>161925</xdr:rowOff>
        </xdr:to>
        <xdr:sp macro="" textlink="">
          <xdr:nvSpPr>
            <xdr:cNvPr id="5215" name="Check Box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2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4829175</xdr:colOff>
          <xdr:row>81</xdr:row>
          <xdr:rowOff>19050</xdr:rowOff>
        </xdr:from>
        <xdr:to>
          <xdr:col>0</xdr:col>
          <xdr:colOff>5172075</xdr:colOff>
          <xdr:row>81</xdr:row>
          <xdr:rowOff>180975</xdr:rowOff>
        </xdr:to>
        <xdr:sp macro="" textlink="">
          <xdr:nvSpPr>
            <xdr:cNvPr id="5216" name="Check Box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2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4410075</xdr:colOff>
          <xdr:row>78</xdr:row>
          <xdr:rowOff>142875</xdr:rowOff>
        </xdr:from>
        <xdr:to>
          <xdr:col>2</xdr:col>
          <xdr:colOff>4886325</xdr:colOff>
          <xdr:row>79</xdr:row>
          <xdr:rowOff>142875</xdr:rowOff>
        </xdr:to>
        <xdr:sp macro="" textlink="">
          <xdr:nvSpPr>
            <xdr:cNvPr id="5217" name="Check Box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2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3838575</xdr:colOff>
          <xdr:row>78</xdr:row>
          <xdr:rowOff>142875</xdr:rowOff>
        </xdr:from>
        <xdr:to>
          <xdr:col>2</xdr:col>
          <xdr:colOff>4371975</xdr:colOff>
          <xdr:row>79</xdr:row>
          <xdr:rowOff>142875</xdr:rowOff>
        </xdr:to>
        <xdr:sp macro="" textlink="">
          <xdr:nvSpPr>
            <xdr:cNvPr id="5218" name="Check Box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2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2667000</xdr:colOff>
          <xdr:row>79</xdr:row>
          <xdr:rowOff>142875</xdr:rowOff>
        </xdr:from>
        <xdr:to>
          <xdr:col>2</xdr:col>
          <xdr:colOff>2990850</xdr:colOff>
          <xdr:row>80</xdr:row>
          <xdr:rowOff>142875</xdr:rowOff>
        </xdr:to>
        <xdr:sp macro="" textlink="">
          <xdr:nvSpPr>
            <xdr:cNvPr id="5219" name="Check Box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2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79</xdr:row>
          <xdr:rowOff>142875</xdr:rowOff>
        </xdr:from>
        <xdr:to>
          <xdr:col>2</xdr:col>
          <xdr:colOff>2657475</xdr:colOff>
          <xdr:row>80</xdr:row>
          <xdr:rowOff>142875</xdr:rowOff>
        </xdr:to>
        <xdr:sp macro="" textlink="">
          <xdr:nvSpPr>
            <xdr:cNvPr id="5220" name="Check Box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2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79</xdr:row>
          <xdr:rowOff>190500</xdr:rowOff>
        </xdr:from>
        <xdr:to>
          <xdr:col>2</xdr:col>
          <xdr:colOff>495300</xdr:colOff>
          <xdr:row>80</xdr:row>
          <xdr:rowOff>190500</xdr:rowOff>
        </xdr:to>
        <xdr:sp macro="" textlink="">
          <xdr:nvSpPr>
            <xdr:cNvPr id="5221" name="Check Box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2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80</xdr:row>
          <xdr:rowOff>0</xdr:rowOff>
        </xdr:from>
        <xdr:to>
          <xdr:col>2</xdr:col>
          <xdr:colOff>1047750</xdr:colOff>
          <xdr:row>81</xdr:row>
          <xdr:rowOff>0</xdr:rowOff>
        </xdr:to>
        <xdr:sp macro="" textlink="">
          <xdr:nvSpPr>
            <xdr:cNvPr id="5222" name="Check Box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2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3019425</xdr:colOff>
          <xdr:row>79</xdr:row>
          <xdr:rowOff>142875</xdr:rowOff>
        </xdr:from>
        <xdr:to>
          <xdr:col>2</xdr:col>
          <xdr:colOff>3333750</xdr:colOff>
          <xdr:row>80</xdr:row>
          <xdr:rowOff>142875</xdr:rowOff>
        </xdr:to>
        <xdr:sp macro="" textlink="">
          <xdr:nvSpPr>
            <xdr:cNvPr id="5223" name="Check Box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2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3371850</xdr:colOff>
          <xdr:row>79</xdr:row>
          <xdr:rowOff>142875</xdr:rowOff>
        </xdr:from>
        <xdr:to>
          <xdr:col>2</xdr:col>
          <xdr:colOff>3733800</xdr:colOff>
          <xdr:row>80</xdr:row>
          <xdr:rowOff>142875</xdr:rowOff>
        </xdr:to>
        <xdr:sp macro="" textlink="">
          <xdr:nvSpPr>
            <xdr:cNvPr id="5224" name="Check Box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2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81</xdr:row>
          <xdr:rowOff>9525</xdr:rowOff>
        </xdr:from>
        <xdr:to>
          <xdr:col>2</xdr:col>
          <xdr:colOff>1362075</xdr:colOff>
          <xdr:row>81</xdr:row>
          <xdr:rowOff>180975</xdr:rowOff>
        </xdr:to>
        <xdr:sp macro="" textlink="">
          <xdr:nvSpPr>
            <xdr:cNvPr id="5225" name="Check Box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2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1428750</xdr:colOff>
          <xdr:row>81</xdr:row>
          <xdr:rowOff>9525</xdr:rowOff>
        </xdr:from>
        <xdr:to>
          <xdr:col>2</xdr:col>
          <xdr:colOff>1781175</xdr:colOff>
          <xdr:row>81</xdr:row>
          <xdr:rowOff>180975</xdr:rowOff>
        </xdr:to>
        <xdr:sp macro="" textlink="">
          <xdr:nvSpPr>
            <xdr:cNvPr id="5226" name="Check Box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2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4410075</xdr:colOff>
          <xdr:row>80</xdr:row>
          <xdr:rowOff>142875</xdr:rowOff>
        </xdr:from>
        <xdr:to>
          <xdr:col>2</xdr:col>
          <xdr:colOff>4886325</xdr:colOff>
          <xdr:row>81</xdr:row>
          <xdr:rowOff>142875</xdr:rowOff>
        </xdr:to>
        <xdr:sp macro="" textlink="">
          <xdr:nvSpPr>
            <xdr:cNvPr id="5227" name="Check Box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2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3838575</xdr:colOff>
          <xdr:row>80</xdr:row>
          <xdr:rowOff>142875</xdr:rowOff>
        </xdr:from>
        <xdr:to>
          <xdr:col>2</xdr:col>
          <xdr:colOff>4371975</xdr:colOff>
          <xdr:row>81</xdr:row>
          <xdr:rowOff>142875</xdr:rowOff>
        </xdr:to>
        <xdr:sp macro="" textlink="">
          <xdr:nvSpPr>
            <xdr:cNvPr id="5228" name="Check Box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2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62</xdr:row>
          <xdr:rowOff>133350</xdr:rowOff>
        </xdr:from>
        <xdr:to>
          <xdr:col>2</xdr:col>
          <xdr:colOff>2152650</xdr:colOff>
          <xdr:row>64</xdr:row>
          <xdr:rowOff>47625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2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62</xdr:row>
          <xdr:rowOff>133350</xdr:rowOff>
        </xdr:from>
        <xdr:to>
          <xdr:col>2</xdr:col>
          <xdr:colOff>1638300</xdr:colOff>
          <xdr:row>64</xdr:row>
          <xdr:rowOff>47625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2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62</xdr:row>
          <xdr:rowOff>133350</xdr:rowOff>
        </xdr:from>
        <xdr:to>
          <xdr:col>2</xdr:col>
          <xdr:colOff>495300</xdr:colOff>
          <xdr:row>64</xdr:row>
          <xdr:rowOff>47625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2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62</xdr:row>
          <xdr:rowOff>133350</xdr:rowOff>
        </xdr:from>
        <xdr:to>
          <xdr:col>2</xdr:col>
          <xdr:colOff>1066800</xdr:colOff>
          <xdr:row>64</xdr:row>
          <xdr:rowOff>47625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2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63</xdr:row>
          <xdr:rowOff>142875</xdr:rowOff>
        </xdr:from>
        <xdr:to>
          <xdr:col>2</xdr:col>
          <xdr:colOff>2152650</xdr:colOff>
          <xdr:row>65</xdr:row>
          <xdr:rowOff>57150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2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63</xdr:row>
          <xdr:rowOff>142875</xdr:rowOff>
        </xdr:from>
        <xdr:to>
          <xdr:col>2</xdr:col>
          <xdr:colOff>1638300</xdr:colOff>
          <xdr:row>65</xdr:row>
          <xdr:rowOff>57150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2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63</xdr:row>
          <xdr:rowOff>142875</xdr:rowOff>
        </xdr:from>
        <xdr:to>
          <xdr:col>2</xdr:col>
          <xdr:colOff>495300</xdr:colOff>
          <xdr:row>65</xdr:row>
          <xdr:rowOff>57150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2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63</xdr:row>
          <xdr:rowOff>142875</xdr:rowOff>
        </xdr:from>
        <xdr:to>
          <xdr:col>2</xdr:col>
          <xdr:colOff>1066800</xdr:colOff>
          <xdr:row>65</xdr:row>
          <xdr:rowOff>57150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2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64</xdr:row>
          <xdr:rowOff>142875</xdr:rowOff>
        </xdr:from>
        <xdr:to>
          <xdr:col>2</xdr:col>
          <xdr:colOff>2152650</xdr:colOff>
          <xdr:row>70</xdr:row>
          <xdr:rowOff>57150</xdr:rowOff>
        </xdr:to>
        <xdr:sp macro="" textlink="">
          <xdr:nvSpPr>
            <xdr:cNvPr id="5183" name="Check Box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2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64</xdr:row>
          <xdr:rowOff>142875</xdr:rowOff>
        </xdr:from>
        <xdr:to>
          <xdr:col>2</xdr:col>
          <xdr:colOff>1638300</xdr:colOff>
          <xdr:row>70</xdr:row>
          <xdr:rowOff>57150</xdr:rowOff>
        </xdr:to>
        <xdr:sp macro="" textlink="">
          <xdr:nvSpPr>
            <xdr:cNvPr id="5184" name="Check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2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64</xdr:row>
          <xdr:rowOff>142875</xdr:rowOff>
        </xdr:from>
        <xdr:to>
          <xdr:col>2</xdr:col>
          <xdr:colOff>495300</xdr:colOff>
          <xdr:row>70</xdr:row>
          <xdr:rowOff>57150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2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64</xdr:row>
          <xdr:rowOff>142875</xdr:rowOff>
        </xdr:from>
        <xdr:to>
          <xdr:col>2</xdr:col>
          <xdr:colOff>1066800</xdr:colOff>
          <xdr:row>70</xdr:row>
          <xdr:rowOff>57150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2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2667000</xdr:colOff>
          <xdr:row>61</xdr:row>
          <xdr:rowOff>133350</xdr:rowOff>
        </xdr:from>
        <xdr:to>
          <xdr:col>2</xdr:col>
          <xdr:colOff>3124200</xdr:colOff>
          <xdr:row>63</xdr:row>
          <xdr:rowOff>47625</xdr:rowOff>
        </xdr:to>
        <xdr:sp macro="" textlink="">
          <xdr:nvSpPr>
            <xdr:cNvPr id="5196" name="Check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2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61</xdr:row>
          <xdr:rowOff>133350</xdr:rowOff>
        </xdr:from>
        <xdr:to>
          <xdr:col>2</xdr:col>
          <xdr:colOff>2657475</xdr:colOff>
          <xdr:row>63</xdr:row>
          <xdr:rowOff>47625</xdr:rowOff>
        </xdr:to>
        <xdr:sp macro="" textlink="">
          <xdr:nvSpPr>
            <xdr:cNvPr id="5197" name="Check Box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2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61</xdr:row>
          <xdr:rowOff>142875</xdr:rowOff>
        </xdr:from>
        <xdr:to>
          <xdr:col>2</xdr:col>
          <xdr:colOff>495300</xdr:colOff>
          <xdr:row>63</xdr:row>
          <xdr:rowOff>57150</xdr:rowOff>
        </xdr:to>
        <xdr:sp macro="" textlink="">
          <xdr:nvSpPr>
            <xdr:cNvPr id="5198" name="Check Box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2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61</xdr:row>
          <xdr:rowOff>142875</xdr:rowOff>
        </xdr:from>
        <xdr:to>
          <xdr:col>2</xdr:col>
          <xdr:colOff>1066800</xdr:colOff>
          <xdr:row>63</xdr:row>
          <xdr:rowOff>57150</xdr:rowOff>
        </xdr:to>
        <xdr:sp macro="" textlink="">
          <xdr:nvSpPr>
            <xdr:cNvPr id="5199" name="Check Box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2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82</xdr:row>
          <xdr:rowOff>133350</xdr:rowOff>
        </xdr:from>
        <xdr:to>
          <xdr:col>2</xdr:col>
          <xdr:colOff>2152650</xdr:colOff>
          <xdr:row>83</xdr:row>
          <xdr:rowOff>133350</xdr:rowOff>
        </xdr:to>
        <xdr:sp macro="" textlink="">
          <xdr:nvSpPr>
            <xdr:cNvPr id="5229" name="Check Box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2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82</xdr:row>
          <xdr:rowOff>133350</xdr:rowOff>
        </xdr:from>
        <xdr:to>
          <xdr:col>2</xdr:col>
          <xdr:colOff>1638300</xdr:colOff>
          <xdr:row>83</xdr:row>
          <xdr:rowOff>133350</xdr:rowOff>
        </xdr:to>
        <xdr:sp macro="" textlink="">
          <xdr:nvSpPr>
            <xdr:cNvPr id="5230" name="Check Box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2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82</xdr:row>
          <xdr:rowOff>133350</xdr:rowOff>
        </xdr:from>
        <xdr:to>
          <xdr:col>2</xdr:col>
          <xdr:colOff>495300</xdr:colOff>
          <xdr:row>83</xdr:row>
          <xdr:rowOff>133350</xdr:rowOff>
        </xdr:to>
        <xdr:sp macro="" textlink="">
          <xdr:nvSpPr>
            <xdr:cNvPr id="5231" name="Check Box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2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82</xdr:row>
          <xdr:rowOff>133350</xdr:rowOff>
        </xdr:from>
        <xdr:to>
          <xdr:col>2</xdr:col>
          <xdr:colOff>1066800</xdr:colOff>
          <xdr:row>83</xdr:row>
          <xdr:rowOff>133350</xdr:rowOff>
        </xdr:to>
        <xdr:sp macro="" textlink="">
          <xdr:nvSpPr>
            <xdr:cNvPr id="5232" name="Check Box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2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83</xdr:row>
          <xdr:rowOff>200025</xdr:rowOff>
        </xdr:from>
        <xdr:to>
          <xdr:col>2</xdr:col>
          <xdr:colOff>2152650</xdr:colOff>
          <xdr:row>84</xdr:row>
          <xdr:rowOff>133350</xdr:rowOff>
        </xdr:to>
        <xdr:sp macro="" textlink="">
          <xdr:nvSpPr>
            <xdr:cNvPr id="5233" name="Check Box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2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83</xdr:row>
          <xdr:rowOff>190500</xdr:rowOff>
        </xdr:from>
        <xdr:to>
          <xdr:col>2</xdr:col>
          <xdr:colOff>1638300</xdr:colOff>
          <xdr:row>84</xdr:row>
          <xdr:rowOff>152400</xdr:rowOff>
        </xdr:to>
        <xdr:sp macro="" textlink="">
          <xdr:nvSpPr>
            <xdr:cNvPr id="5234" name="Check Box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2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83</xdr:row>
          <xdr:rowOff>171450</xdr:rowOff>
        </xdr:from>
        <xdr:to>
          <xdr:col>2</xdr:col>
          <xdr:colOff>495300</xdr:colOff>
          <xdr:row>84</xdr:row>
          <xdr:rowOff>133350</xdr:rowOff>
        </xdr:to>
        <xdr:sp macro="" textlink="">
          <xdr:nvSpPr>
            <xdr:cNvPr id="5235" name="Check Box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2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83</xdr:row>
          <xdr:rowOff>171450</xdr:rowOff>
        </xdr:from>
        <xdr:to>
          <xdr:col>2</xdr:col>
          <xdr:colOff>1066800</xdr:colOff>
          <xdr:row>84</xdr:row>
          <xdr:rowOff>133350</xdr:rowOff>
        </xdr:to>
        <xdr:sp macro="" textlink="">
          <xdr:nvSpPr>
            <xdr:cNvPr id="5236" name="Check Box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2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1,25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2838450</xdr:colOff>
          <xdr:row>83</xdr:row>
          <xdr:rowOff>133350</xdr:rowOff>
        </xdr:from>
        <xdr:to>
          <xdr:col>2</xdr:col>
          <xdr:colOff>3314700</xdr:colOff>
          <xdr:row>84</xdr:row>
          <xdr:rowOff>95250</xdr:rowOff>
        </xdr:to>
        <xdr:sp macro="" textlink="">
          <xdr:nvSpPr>
            <xdr:cNvPr id="5238" name="Check Box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2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2266950</xdr:colOff>
          <xdr:row>83</xdr:row>
          <xdr:rowOff>133350</xdr:rowOff>
        </xdr:from>
        <xdr:to>
          <xdr:col>2</xdr:col>
          <xdr:colOff>2800350</xdr:colOff>
          <xdr:row>84</xdr:row>
          <xdr:rowOff>95250</xdr:rowOff>
        </xdr:to>
        <xdr:sp macro="" textlink="">
          <xdr:nvSpPr>
            <xdr:cNvPr id="5239" name="Check Box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2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3867150</xdr:colOff>
          <xdr:row>117</xdr:row>
          <xdr:rowOff>19050</xdr:rowOff>
        </xdr:from>
        <xdr:to>
          <xdr:col>5</xdr:col>
          <xdr:colOff>0</xdr:colOff>
          <xdr:row>117</xdr:row>
          <xdr:rowOff>200025</xdr:rowOff>
        </xdr:to>
        <xdr:sp macro="" textlink="">
          <xdr:nvSpPr>
            <xdr:cNvPr id="5242" name="Button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2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Überspannungsstufe: Namen in PlsRmp anpassen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122</xdr:row>
          <xdr:rowOff>19050</xdr:rowOff>
        </xdr:from>
        <xdr:to>
          <xdr:col>2</xdr:col>
          <xdr:colOff>5143500</xdr:colOff>
          <xdr:row>122</xdr:row>
          <xdr:rowOff>180975</xdr:rowOff>
        </xdr:to>
        <xdr:sp macro="" textlink="">
          <xdr:nvSpPr>
            <xdr:cNvPr id="5243" name="Button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2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PlsRmp_Measurement -&gt; Texte anpassen für IT Netz Prüfungen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3</xdr:row>
      <xdr:rowOff>76200</xdr:rowOff>
    </xdr:from>
    <xdr:to>
      <xdr:col>14</xdr:col>
      <xdr:colOff>0</xdr:colOff>
      <xdr:row>4</xdr:row>
      <xdr:rowOff>142875</xdr:rowOff>
    </xdr:to>
    <xdr:pic>
      <xdr:nvPicPr>
        <xdr:cNvPr id="1026" name="CommandButton1">
          <a:extLst>
            <a:ext uri="{FF2B5EF4-FFF2-40B4-BE49-F238E27FC236}">
              <a16:creationId xmlns:a16="http://schemas.microsoft.com/office/drawing/2014/main" id="{6F929D52-31E5-F318-AE15-1323C4F7F0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15100" y="552450"/>
          <a:ext cx="2286000" cy="3143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247650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Starte den PDF 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152400</xdr:rowOff>
        </xdr:from>
        <xdr:to>
          <xdr:col>13</xdr:col>
          <xdr:colOff>390525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Protokoll Nr generieren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38100</xdr:rowOff>
        </xdr:from>
        <xdr:to>
          <xdr:col>14</xdr:col>
          <xdr:colOff>0</xdr:colOff>
          <xdr:row>5</xdr:row>
          <xdr:rowOff>209550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Bemerkungsfeld: Zeilen ausblenden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131F81-721F-43CA-B8D7-E8997A7FFA83}" name="Measurements" displayName="Measurements" ref="A1:O62" totalsRowShown="0">
  <autoFilter ref="A1:O62" xr:uid="{79131F81-721F-43CA-B8D7-E8997A7FFA83}"/>
  <tableColumns count="15">
    <tableColumn id="1" xr3:uid="{AEC9D903-3212-42C4-925F-0746A4917F24}" name="Spalte1"/>
    <tableColumn id="2" xr3:uid="{86EF6CC1-FDD7-40BE-8113-C697E15213FA}" name="Spalte2"/>
    <tableColumn id="3" xr3:uid="{FF72B20D-1E8B-484E-92A8-18AC72D38F2D}" name="Spalte3"/>
    <tableColumn id="4" xr3:uid="{171E2323-166D-469F-B6A0-CA37EF2BC1ED}" name="Spalte4"/>
    <tableColumn id="5" xr3:uid="{7C31BF13-9252-4165-A469-CA1EE4C3BFA6}" name="Spalte5"/>
    <tableColumn id="6" xr3:uid="{EE6A8D88-8A15-4726-83A0-7E3AA7F2D0C6}" name="Spalte6"/>
    <tableColumn id="7" xr3:uid="{E6B9FEAA-6D82-41BB-A2F6-76F7D94F0CDA}" name="Spalte7"/>
    <tableColumn id="8" xr3:uid="{06C3ECB5-9404-471A-B17B-F11A541631BF}" name="Spalte8"/>
    <tableColumn id="9" xr3:uid="{F1B9FB5B-4FAE-494A-8758-267B03DAE7CC}" name="Spalte9"/>
    <tableColumn id="10" xr3:uid="{FBCC1A81-59FC-4431-96E1-2543A74FC6AE}" name="Spalte10"/>
    <tableColumn id="11" xr3:uid="{6C627790-A620-406E-A8A7-8D05284CD2D3}" name="Spalte11"/>
    <tableColumn id="12" xr3:uid="{71575290-0D41-4873-A0B3-E5B8BCA2B775}" name="Spalte12"/>
    <tableColumn id="13" xr3:uid="{4DC4ABA1-7BED-47E1-A599-2D23CB9C2BB6}" name="Spalte13"/>
    <tableColumn id="14" xr3:uid="{E66BB085-CDF6-47D4-A52C-9DD50E61592B}" name="Spalte14"/>
    <tableColumn id="15" xr3:uid="{42E41A9B-78CF-463B-90A9-8F016802AC2E}" name="Spalte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E951DC-E2AC-4386-927D-387D88508FA9}" name="Seq_Measurement" displayName="Seq_Measurement_" ref="A1:M41" totalsRowShown="0">
  <autoFilter ref="A1:M41" xr:uid="{C3E951DC-E2AC-4386-927D-387D88508FA9}"/>
  <tableColumns count="13">
    <tableColumn id="1" xr3:uid="{5712F482-017D-484C-ADF9-5B875ED30940}" name="Spalte1"/>
    <tableColumn id="2" xr3:uid="{694C5FFE-925F-424E-8AC0-B26645F9F56D}" name="Spalte2"/>
    <tableColumn id="3" xr3:uid="{944A6D31-C3E3-4F98-9CC5-5669E91341E4}" name="Spalte3"/>
    <tableColumn id="4" xr3:uid="{334B3EEC-FC71-46E1-94F7-60DB6044854C}" name="Spalte4"/>
    <tableColumn id="5" xr3:uid="{38861A89-595D-4C77-8F84-34734D9850C2}" name="Spalte5"/>
    <tableColumn id="6" xr3:uid="{65EE26FC-1394-4905-9ECF-1A25C8E8FE39}" name="Spalte6"/>
    <tableColumn id="7" xr3:uid="{C54A8F24-A9D1-4A30-A9EB-089CADDBA446}" name="Spalte7"/>
    <tableColumn id="8" xr3:uid="{DD2EF278-CD84-404D-99CA-1C1F2373B42F}" name="Spalte8"/>
    <tableColumn id="9" xr3:uid="{BCC6E996-36C9-4000-BE44-E0E395916D86}" name="Spalte9"/>
    <tableColumn id="10" xr3:uid="{E801A5EB-7096-42F4-B341-79E311D2BAAE}" name="Spalte10"/>
    <tableColumn id="11" xr3:uid="{AE992FB5-E4CA-40C3-BB22-5E7F379BEC85}" name="Spalte11"/>
    <tableColumn id="12" xr3:uid="{471EE925-14B5-430D-A50F-91CB5E15973C}" name="Spalte12"/>
    <tableColumn id="13" xr3:uid="{F9CA8ED3-0FD1-40CD-A5B0-98AD8DD41460}" name="Spalte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9B5CB47-A7A4-450B-BCEA-1056722CC6B0}" name="PlsRmp_Measurement" displayName="PlsRmp_Measurement" ref="A1:N7" totalsRowShown="0">
  <autoFilter ref="A1:N7" xr:uid="{99B5CB47-A7A4-450B-BCEA-1056722CC6B0}"/>
  <tableColumns count="14">
    <tableColumn id="1" xr3:uid="{EC81952F-FE9A-49F0-B95A-6CAEA1C9B8F2}" name="Spalte1"/>
    <tableColumn id="2" xr3:uid="{1ACD4538-A31C-474D-B755-A275AACCB8A1}" name="Spalte2"/>
    <tableColumn id="3" xr3:uid="{03AE8896-BAEC-416C-879F-92D2BDE16E2E}" name="Spalte3"/>
    <tableColumn id="4" xr3:uid="{36792DF3-25F7-4D2C-8E77-8362750F3354}" name="Spalte4"/>
    <tableColumn id="5" xr3:uid="{79C139DD-FB70-4F49-8EAC-A2AA533488E8}" name="Spalte5"/>
    <tableColumn id="6" xr3:uid="{0F86FBDB-48A1-46A9-8BBB-A5FD6BDAD7BA}" name="Spalte6"/>
    <tableColumn id="7" xr3:uid="{0ED4D4A9-32CE-4D82-9821-F0EE56C2CC72}" name="Spalte7"/>
    <tableColumn id="8" xr3:uid="{04A18B62-F159-4EA9-BCB4-6CA49A673FF6}" name="Spalte8"/>
    <tableColumn id="9" xr3:uid="{671D0A76-FFE6-4A9D-819A-E5B781B612E1}" name="Spalte9"/>
    <tableColumn id="10" xr3:uid="{971116B8-EDD6-4272-9863-82798ED67D55}" name="Spalte10"/>
    <tableColumn id="11" xr3:uid="{D82AC270-7226-4CD1-A737-14CB0B876BC1}" name="Spalte11"/>
    <tableColumn id="12" xr3:uid="{28CA1D40-6385-4A30-A03A-E34B3290CC9B}" name="Spalte12"/>
    <tableColumn id="13" xr3:uid="{1A75B859-F894-4498-8275-11B860143AFD}" name="Spalte13"/>
    <tableColumn id="14" xr3:uid="{DF209DD5-B9BA-4AA0-9A1F-29E79D2D3795}" name="Spalte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16" Type="http://schemas.openxmlformats.org/officeDocument/2006/relationships/ctrlProp" Target="../ctrlProps/ctrlProp1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66" Type="http://schemas.openxmlformats.org/officeDocument/2006/relationships/ctrlProp" Target="../ctrlProps/ctrlProp64.xml"/><Relationship Id="rId74" Type="http://schemas.openxmlformats.org/officeDocument/2006/relationships/ctrlProp" Target="../ctrlProps/ctrlProp72.xml"/><Relationship Id="rId5" Type="http://schemas.openxmlformats.org/officeDocument/2006/relationships/ctrlProp" Target="../ctrlProps/ctrlProp3.xml"/><Relationship Id="rId61" Type="http://schemas.openxmlformats.org/officeDocument/2006/relationships/ctrlProp" Target="../ctrlProps/ctrlProp59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56" Type="http://schemas.openxmlformats.org/officeDocument/2006/relationships/ctrlProp" Target="../ctrlProps/ctrlProp54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77" Type="http://schemas.openxmlformats.org/officeDocument/2006/relationships/ctrlProp" Target="../ctrlProps/ctrlProp75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59" Type="http://schemas.openxmlformats.org/officeDocument/2006/relationships/ctrlProp" Target="../ctrlProps/ctrlProp57.xml"/><Relationship Id="rId67" Type="http://schemas.openxmlformats.org/officeDocument/2006/relationships/ctrlProp" Target="../ctrlProps/ctrlProp6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62" Type="http://schemas.openxmlformats.org/officeDocument/2006/relationships/ctrlProp" Target="../ctrlProps/ctrlProp60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8.xml"/><Relationship Id="rId21" Type="http://schemas.openxmlformats.org/officeDocument/2006/relationships/ctrlProp" Target="../ctrlProps/ctrlProp93.xml"/><Relationship Id="rId42" Type="http://schemas.openxmlformats.org/officeDocument/2006/relationships/ctrlProp" Target="../ctrlProps/ctrlProp114.xml"/><Relationship Id="rId47" Type="http://schemas.openxmlformats.org/officeDocument/2006/relationships/ctrlProp" Target="../ctrlProps/ctrlProp119.xml"/><Relationship Id="rId63" Type="http://schemas.openxmlformats.org/officeDocument/2006/relationships/ctrlProp" Target="../ctrlProps/ctrlProp135.xml"/><Relationship Id="rId68" Type="http://schemas.openxmlformats.org/officeDocument/2006/relationships/ctrlProp" Target="../ctrlProps/ctrlProp140.xml"/><Relationship Id="rId84" Type="http://schemas.openxmlformats.org/officeDocument/2006/relationships/ctrlProp" Target="../ctrlProps/ctrlProp156.xml"/><Relationship Id="rId16" Type="http://schemas.openxmlformats.org/officeDocument/2006/relationships/ctrlProp" Target="../ctrlProps/ctrlProp88.xml"/><Relationship Id="rId11" Type="http://schemas.openxmlformats.org/officeDocument/2006/relationships/ctrlProp" Target="../ctrlProps/ctrlProp83.xml"/><Relationship Id="rId32" Type="http://schemas.openxmlformats.org/officeDocument/2006/relationships/ctrlProp" Target="../ctrlProps/ctrlProp104.xml"/><Relationship Id="rId37" Type="http://schemas.openxmlformats.org/officeDocument/2006/relationships/ctrlProp" Target="../ctrlProps/ctrlProp109.xml"/><Relationship Id="rId53" Type="http://schemas.openxmlformats.org/officeDocument/2006/relationships/ctrlProp" Target="../ctrlProps/ctrlProp125.xml"/><Relationship Id="rId58" Type="http://schemas.openxmlformats.org/officeDocument/2006/relationships/ctrlProp" Target="../ctrlProps/ctrlProp130.xml"/><Relationship Id="rId74" Type="http://schemas.openxmlformats.org/officeDocument/2006/relationships/ctrlProp" Target="../ctrlProps/ctrlProp146.xml"/><Relationship Id="rId79" Type="http://schemas.openxmlformats.org/officeDocument/2006/relationships/ctrlProp" Target="../ctrlProps/ctrlProp151.xml"/><Relationship Id="rId5" Type="http://schemas.openxmlformats.org/officeDocument/2006/relationships/ctrlProp" Target="../ctrlProps/ctrlProp77.xml"/><Relationship Id="rId19" Type="http://schemas.openxmlformats.org/officeDocument/2006/relationships/ctrlProp" Target="../ctrlProps/ctrlProp91.xml"/><Relationship Id="rId14" Type="http://schemas.openxmlformats.org/officeDocument/2006/relationships/ctrlProp" Target="../ctrlProps/ctrlProp86.xml"/><Relationship Id="rId22" Type="http://schemas.openxmlformats.org/officeDocument/2006/relationships/ctrlProp" Target="../ctrlProps/ctrlProp94.xml"/><Relationship Id="rId27" Type="http://schemas.openxmlformats.org/officeDocument/2006/relationships/ctrlProp" Target="../ctrlProps/ctrlProp99.xml"/><Relationship Id="rId30" Type="http://schemas.openxmlformats.org/officeDocument/2006/relationships/ctrlProp" Target="../ctrlProps/ctrlProp102.xml"/><Relationship Id="rId35" Type="http://schemas.openxmlformats.org/officeDocument/2006/relationships/ctrlProp" Target="../ctrlProps/ctrlProp107.xml"/><Relationship Id="rId43" Type="http://schemas.openxmlformats.org/officeDocument/2006/relationships/ctrlProp" Target="../ctrlProps/ctrlProp115.xml"/><Relationship Id="rId48" Type="http://schemas.openxmlformats.org/officeDocument/2006/relationships/ctrlProp" Target="../ctrlProps/ctrlProp120.xml"/><Relationship Id="rId56" Type="http://schemas.openxmlformats.org/officeDocument/2006/relationships/ctrlProp" Target="../ctrlProps/ctrlProp128.xml"/><Relationship Id="rId64" Type="http://schemas.openxmlformats.org/officeDocument/2006/relationships/ctrlProp" Target="../ctrlProps/ctrlProp136.xml"/><Relationship Id="rId69" Type="http://schemas.openxmlformats.org/officeDocument/2006/relationships/ctrlProp" Target="../ctrlProps/ctrlProp141.xml"/><Relationship Id="rId77" Type="http://schemas.openxmlformats.org/officeDocument/2006/relationships/ctrlProp" Target="../ctrlProps/ctrlProp149.xml"/><Relationship Id="rId8" Type="http://schemas.openxmlformats.org/officeDocument/2006/relationships/ctrlProp" Target="../ctrlProps/ctrlProp80.xml"/><Relationship Id="rId51" Type="http://schemas.openxmlformats.org/officeDocument/2006/relationships/ctrlProp" Target="../ctrlProps/ctrlProp123.xml"/><Relationship Id="rId72" Type="http://schemas.openxmlformats.org/officeDocument/2006/relationships/ctrlProp" Target="../ctrlProps/ctrlProp144.xml"/><Relationship Id="rId80" Type="http://schemas.openxmlformats.org/officeDocument/2006/relationships/ctrlProp" Target="../ctrlProps/ctrlProp152.xml"/><Relationship Id="rId85" Type="http://schemas.openxmlformats.org/officeDocument/2006/relationships/ctrlProp" Target="../ctrlProps/ctrlProp157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84.xml"/><Relationship Id="rId17" Type="http://schemas.openxmlformats.org/officeDocument/2006/relationships/ctrlProp" Target="../ctrlProps/ctrlProp89.xml"/><Relationship Id="rId25" Type="http://schemas.openxmlformats.org/officeDocument/2006/relationships/ctrlProp" Target="../ctrlProps/ctrlProp97.xml"/><Relationship Id="rId33" Type="http://schemas.openxmlformats.org/officeDocument/2006/relationships/ctrlProp" Target="../ctrlProps/ctrlProp105.xml"/><Relationship Id="rId38" Type="http://schemas.openxmlformats.org/officeDocument/2006/relationships/ctrlProp" Target="../ctrlProps/ctrlProp110.xml"/><Relationship Id="rId46" Type="http://schemas.openxmlformats.org/officeDocument/2006/relationships/ctrlProp" Target="../ctrlProps/ctrlProp118.xml"/><Relationship Id="rId59" Type="http://schemas.openxmlformats.org/officeDocument/2006/relationships/ctrlProp" Target="../ctrlProps/ctrlProp131.xml"/><Relationship Id="rId67" Type="http://schemas.openxmlformats.org/officeDocument/2006/relationships/ctrlProp" Target="../ctrlProps/ctrlProp139.xml"/><Relationship Id="rId20" Type="http://schemas.openxmlformats.org/officeDocument/2006/relationships/ctrlProp" Target="../ctrlProps/ctrlProp92.xml"/><Relationship Id="rId41" Type="http://schemas.openxmlformats.org/officeDocument/2006/relationships/ctrlProp" Target="../ctrlProps/ctrlProp113.xml"/><Relationship Id="rId54" Type="http://schemas.openxmlformats.org/officeDocument/2006/relationships/ctrlProp" Target="../ctrlProps/ctrlProp126.xml"/><Relationship Id="rId62" Type="http://schemas.openxmlformats.org/officeDocument/2006/relationships/ctrlProp" Target="../ctrlProps/ctrlProp134.xml"/><Relationship Id="rId70" Type="http://schemas.openxmlformats.org/officeDocument/2006/relationships/ctrlProp" Target="../ctrlProps/ctrlProp142.xml"/><Relationship Id="rId75" Type="http://schemas.openxmlformats.org/officeDocument/2006/relationships/ctrlProp" Target="../ctrlProps/ctrlProp147.xml"/><Relationship Id="rId83" Type="http://schemas.openxmlformats.org/officeDocument/2006/relationships/ctrlProp" Target="../ctrlProps/ctrlProp155.xml"/><Relationship Id="rId1" Type="http://schemas.openxmlformats.org/officeDocument/2006/relationships/hyperlink" Target="mailto:k.koehn@ges-energietechnik.com" TargetMode="External"/><Relationship Id="rId6" Type="http://schemas.openxmlformats.org/officeDocument/2006/relationships/ctrlProp" Target="../ctrlProps/ctrlProp78.xml"/><Relationship Id="rId15" Type="http://schemas.openxmlformats.org/officeDocument/2006/relationships/ctrlProp" Target="../ctrlProps/ctrlProp87.xml"/><Relationship Id="rId23" Type="http://schemas.openxmlformats.org/officeDocument/2006/relationships/ctrlProp" Target="../ctrlProps/ctrlProp95.xml"/><Relationship Id="rId28" Type="http://schemas.openxmlformats.org/officeDocument/2006/relationships/ctrlProp" Target="../ctrlProps/ctrlProp100.xml"/><Relationship Id="rId36" Type="http://schemas.openxmlformats.org/officeDocument/2006/relationships/ctrlProp" Target="../ctrlProps/ctrlProp108.xml"/><Relationship Id="rId49" Type="http://schemas.openxmlformats.org/officeDocument/2006/relationships/ctrlProp" Target="../ctrlProps/ctrlProp121.xml"/><Relationship Id="rId57" Type="http://schemas.openxmlformats.org/officeDocument/2006/relationships/ctrlProp" Target="../ctrlProps/ctrlProp129.xml"/><Relationship Id="rId10" Type="http://schemas.openxmlformats.org/officeDocument/2006/relationships/ctrlProp" Target="../ctrlProps/ctrlProp82.xml"/><Relationship Id="rId31" Type="http://schemas.openxmlformats.org/officeDocument/2006/relationships/ctrlProp" Target="../ctrlProps/ctrlProp103.xml"/><Relationship Id="rId44" Type="http://schemas.openxmlformats.org/officeDocument/2006/relationships/ctrlProp" Target="../ctrlProps/ctrlProp116.xml"/><Relationship Id="rId52" Type="http://schemas.openxmlformats.org/officeDocument/2006/relationships/ctrlProp" Target="../ctrlProps/ctrlProp124.xml"/><Relationship Id="rId60" Type="http://schemas.openxmlformats.org/officeDocument/2006/relationships/ctrlProp" Target="../ctrlProps/ctrlProp132.xml"/><Relationship Id="rId65" Type="http://schemas.openxmlformats.org/officeDocument/2006/relationships/ctrlProp" Target="../ctrlProps/ctrlProp137.xml"/><Relationship Id="rId73" Type="http://schemas.openxmlformats.org/officeDocument/2006/relationships/ctrlProp" Target="../ctrlProps/ctrlProp145.xml"/><Relationship Id="rId78" Type="http://schemas.openxmlformats.org/officeDocument/2006/relationships/ctrlProp" Target="../ctrlProps/ctrlProp150.xml"/><Relationship Id="rId81" Type="http://schemas.openxmlformats.org/officeDocument/2006/relationships/ctrlProp" Target="../ctrlProps/ctrlProp153.xml"/><Relationship Id="rId86" Type="http://schemas.openxmlformats.org/officeDocument/2006/relationships/ctrlProp" Target="../ctrlProps/ctrlProp158.xml"/><Relationship Id="rId4" Type="http://schemas.openxmlformats.org/officeDocument/2006/relationships/ctrlProp" Target="../ctrlProps/ctrlProp76.xml"/><Relationship Id="rId9" Type="http://schemas.openxmlformats.org/officeDocument/2006/relationships/ctrlProp" Target="../ctrlProps/ctrlProp81.xml"/><Relationship Id="rId13" Type="http://schemas.openxmlformats.org/officeDocument/2006/relationships/ctrlProp" Target="../ctrlProps/ctrlProp85.xml"/><Relationship Id="rId18" Type="http://schemas.openxmlformats.org/officeDocument/2006/relationships/ctrlProp" Target="../ctrlProps/ctrlProp90.xml"/><Relationship Id="rId39" Type="http://schemas.openxmlformats.org/officeDocument/2006/relationships/ctrlProp" Target="../ctrlProps/ctrlProp111.xml"/><Relationship Id="rId34" Type="http://schemas.openxmlformats.org/officeDocument/2006/relationships/ctrlProp" Target="../ctrlProps/ctrlProp106.xml"/><Relationship Id="rId50" Type="http://schemas.openxmlformats.org/officeDocument/2006/relationships/ctrlProp" Target="../ctrlProps/ctrlProp122.xml"/><Relationship Id="rId55" Type="http://schemas.openxmlformats.org/officeDocument/2006/relationships/ctrlProp" Target="../ctrlProps/ctrlProp127.xml"/><Relationship Id="rId76" Type="http://schemas.openxmlformats.org/officeDocument/2006/relationships/ctrlProp" Target="../ctrlProps/ctrlProp148.xml"/><Relationship Id="rId7" Type="http://schemas.openxmlformats.org/officeDocument/2006/relationships/ctrlProp" Target="../ctrlProps/ctrlProp79.xml"/><Relationship Id="rId71" Type="http://schemas.openxmlformats.org/officeDocument/2006/relationships/ctrlProp" Target="../ctrlProps/ctrlProp143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01.xml"/><Relationship Id="rId24" Type="http://schemas.openxmlformats.org/officeDocument/2006/relationships/ctrlProp" Target="../ctrlProps/ctrlProp96.xml"/><Relationship Id="rId40" Type="http://schemas.openxmlformats.org/officeDocument/2006/relationships/ctrlProp" Target="../ctrlProps/ctrlProp112.xml"/><Relationship Id="rId45" Type="http://schemas.openxmlformats.org/officeDocument/2006/relationships/ctrlProp" Target="../ctrlProps/ctrlProp117.xml"/><Relationship Id="rId66" Type="http://schemas.openxmlformats.org/officeDocument/2006/relationships/ctrlProp" Target="../ctrlProps/ctrlProp138.xml"/><Relationship Id="rId61" Type="http://schemas.openxmlformats.org/officeDocument/2006/relationships/ctrlProp" Target="../ctrlProps/ctrlProp133.xml"/><Relationship Id="rId82" Type="http://schemas.openxmlformats.org/officeDocument/2006/relationships/ctrlProp" Target="../ctrlProps/ctrlProp15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61.xml"/><Relationship Id="rId5" Type="http://schemas.openxmlformats.org/officeDocument/2006/relationships/ctrlProp" Target="../ctrlProps/ctrlProp160.xml"/><Relationship Id="rId4" Type="http://schemas.openxmlformats.org/officeDocument/2006/relationships/ctrlProp" Target="../ctrlProps/ctrlProp15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9"/>
  <dimension ref="A1:Y1220"/>
  <sheetViews>
    <sheetView topLeftCell="A61" workbookViewId="0">
      <pane xSplit="1" topLeftCell="B1" activePane="topRight" state="frozen"/>
      <selection pane="topRight" activeCell="D66" sqref="D66"/>
    </sheetView>
  </sheetViews>
  <sheetFormatPr baseColWidth="10" defaultRowHeight="12.75"/>
  <cols>
    <col min="1" max="1" width="63.5703125" style="476" customWidth="1"/>
    <col min="2" max="2" width="30.85546875" style="457" customWidth="1"/>
    <col min="3" max="3" width="20.140625" style="457" customWidth="1"/>
    <col min="4" max="4" width="25.42578125" style="457" customWidth="1"/>
    <col min="5" max="5" width="8.7109375" style="156" bestFit="1" customWidth="1"/>
    <col min="6" max="6" width="19.28515625" style="362" customWidth="1"/>
    <col min="7" max="7" width="26.42578125" style="147" customWidth="1"/>
    <col min="8" max="8" width="29.5703125" style="457" customWidth="1"/>
    <col min="9" max="9" width="11.42578125" style="457" hidden="1" customWidth="1"/>
    <col min="10" max="10" width="4.7109375" style="457" hidden="1" customWidth="1"/>
    <col min="11" max="11" width="8.140625" style="457" hidden="1" customWidth="1"/>
    <col min="12" max="12" width="5.28515625" style="457" hidden="1" customWidth="1"/>
    <col min="13" max="13" width="8.140625" style="457" hidden="1" customWidth="1"/>
    <col min="14" max="14" width="5.85546875" style="457" hidden="1" customWidth="1"/>
    <col min="15" max="15" width="9.28515625" style="457" hidden="1" customWidth="1"/>
    <col min="16" max="16" width="5.28515625" style="457" hidden="1" customWidth="1"/>
    <col min="17" max="17" width="9.7109375" style="457" hidden="1" customWidth="1"/>
    <col min="18" max="18" width="4.7109375" style="457" hidden="1" customWidth="1"/>
    <col min="19" max="19" width="9.85546875" style="457" hidden="1" customWidth="1"/>
    <col min="20" max="20" width="5.28515625" style="457" hidden="1" customWidth="1"/>
    <col min="21" max="22" width="11.42578125" style="457" hidden="1" customWidth="1"/>
    <col min="23" max="25" width="11.42578125" style="457" customWidth="1"/>
    <col min="26" max="16384" width="11.42578125" style="457"/>
  </cols>
  <sheetData>
    <row r="1" spans="1:23" ht="18" customHeight="1" thickBot="1">
      <c r="A1" s="720" t="s">
        <v>0</v>
      </c>
      <c r="B1" s="721"/>
      <c r="C1" s="721"/>
      <c r="D1" s="721"/>
      <c r="E1" s="721"/>
      <c r="F1" s="721"/>
      <c r="G1" s="722"/>
    </row>
    <row r="2" spans="1:23" ht="15" customHeight="1" thickBot="1">
      <c r="A2" s="702"/>
      <c r="B2" s="703"/>
      <c r="C2" s="703"/>
      <c r="D2" s="704"/>
      <c r="E2" s="363" t="s">
        <v>1</v>
      </c>
      <c r="F2" s="366" t="s">
        <v>2</v>
      </c>
      <c r="H2" s="177" t="s">
        <v>3</v>
      </c>
    </row>
    <row r="3" spans="1:23" ht="15" customHeight="1">
      <c r="A3" s="330" t="s">
        <v>4</v>
      </c>
      <c r="B3" s="717"/>
      <c r="C3" s="718"/>
      <c r="D3" s="719"/>
      <c r="E3" s="509" t="s">
        <v>5</v>
      </c>
      <c r="F3" s="500"/>
      <c r="H3" s="177" t="s">
        <v>6</v>
      </c>
    </row>
    <row r="4" spans="1:23" ht="15" customHeight="1">
      <c r="A4" s="330" t="s">
        <v>7</v>
      </c>
      <c r="B4" s="681"/>
      <c r="C4" s="670"/>
      <c r="D4" s="671"/>
      <c r="E4" s="507" t="s">
        <v>5</v>
      </c>
      <c r="F4" s="500"/>
      <c r="H4" s="179" t="s">
        <v>8</v>
      </c>
    </row>
    <row r="5" spans="1:23" ht="19.5" customHeight="1">
      <c r="A5" s="512" t="s">
        <v>9</v>
      </c>
      <c r="B5" s="176"/>
      <c r="C5" s="176"/>
      <c r="D5" s="167"/>
      <c r="E5" s="507" t="s">
        <v>5</v>
      </c>
      <c r="F5" s="500"/>
      <c r="H5" s="179" t="s">
        <v>10</v>
      </c>
    </row>
    <row r="6" spans="1:23">
      <c r="A6" s="512" t="s">
        <v>11</v>
      </c>
      <c r="B6" s="681" t="s">
        <v>12</v>
      </c>
      <c r="C6" s="670"/>
      <c r="D6" s="671"/>
      <c r="E6" s="507" t="s">
        <v>5</v>
      </c>
      <c r="F6" s="500"/>
      <c r="G6" s="147" t="s">
        <v>13</v>
      </c>
      <c r="H6" s="179" t="s">
        <v>14</v>
      </c>
    </row>
    <row r="7" spans="1:23" ht="25.5" customHeight="1">
      <c r="A7" s="512" t="s">
        <v>15</v>
      </c>
      <c r="B7" s="318">
        <v>46163</v>
      </c>
      <c r="C7" s="158"/>
      <c r="D7" s="175"/>
      <c r="E7" s="507" t="s">
        <v>5</v>
      </c>
      <c r="F7" s="500"/>
      <c r="H7" s="178" t="s">
        <v>16</v>
      </c>
    </row>
    <row r="8" spans="1:23">
      <c r="A8" s="687" t="s">
        <v>17</v>
      </c>
      <c r="B8" s="670"/>
      <c r="C8" s="670"/>
      <c r="D8" s="670"/>
      <c r="E8" s="670"/>
      <c r="F8" s="500"/>
      <c r="H8" s="324"/>
    </row>
    <row r="9" spans="1:23">
      <c r="A9" s="319" t="s">
        <v>18</v>
      </c>
      <c r="B9" s="713" t="s">
        <v>19</v>
      </c>
      <c r="C9" s="670"/>
      <c r="D9" s="671"/>
      <c r="E9" s="509" t="s">
        <v>5</v>
      </c>
      <c r="F9" s="500"/>
      <c r="G9" s="147" t="s">
        <v>13</v>
      </c>
      <c r="H9" s="324"/>
    </row>
    <row r="10" spans="1:23">
      <c r="A10" s="320" t="s">
        <v>20</v>
      </c>
      <c r="B10" s="701"/>
      <c r="C10" s="670"/>
      <c r="D10" s="671"/>
      <c r="E10" s="507" t="s">
        <v>5</v>
      </c>
      <c r="F10" s="500"/>
      <c r="H10" s="324"/>
    </row>
    <row r="11" spans="1:23">
      <c r="A11" s="320" t="s">
        <v>21</v>
      </c>
      <c r="B11" s="701"/>
      <c r="C11" s="670"/>
      <c r="D11" s="671"/>
      <c r="E11" s="507" t="s">
        <v>5</v>
      </c>
      <c r="F11" s="500"/>
      <c r="H11" s="324"/>
    </row>
    <row r="12" spans="1:23" ht="15" customHeight="1">
      <c r="A12" s="320" t="s">
        <v>22</v>
      </c>
      <c r="B12" s="701"/>
      <c r="C12" s="670"/>
      <c r="D12" s="671"/>
      <c r="E12" s="507" t="s">
        <v>5</v>
      </c>
      <c r="F12" s="500"/>
    </row>
    <row r="13" spans="1:23" ht="15" customHeight="1">
      <c r="A13" s="327" t="s">
        <v>23</v>
      </c>
      <c r="B13" s="692"/>
      <c r="C13" s="670"/>
      <c r="D13" s="671"/>
      <c r="E13" s="507" t="s">
        <v>5</v>
      </c>
      <c r="F13" s="500"/>
      <c r="H13" s="162"/>
    </row>
    <row r="14" spans="1:23" ht="15" customHeight="1">
      <c r="A14" s="732" t="s">
        <v>24</v>
      </c>
      <c r="B14" s="715"/>
      <c r="C14" s="696"/>
      <c r="D14" s="697"/>
      <c r="E14" s="690" t="s">
        <v>5</v>
      </c>
      <c r="F14" s="500"/>
      <c r="H14" s="162"/>
      <c r="I14" s="457" t="b">
        <v>0</v>
      </c>
      <c r="J14" s="55" t="str">
        <f>IF(I14=TRUE, "x ", "")</f>
        <v/>
      </c>
      <c r="K14" s="457" t="b">
        <v>0</v>
      </c>
      <c r="L14" s="55" t="str">
        <f>IF(K14=TRUE, "x ", "")</f>
        <v/>
      </c>
      <c r="M14" s="457" t="b">
        <v>0</v>
      </c>
      <c r="N14" s="55" t="str">
        <f>IF(M14=TRUE, "x ", "")</f>
        <v/>
      </c>
      <c r="W14" s="457" t="b">
        <v>0</v>
      </c>
    </row>
    <row r="15" spans="1:23" ht="15" customHeight="1">
      <c r="A15" s="733"/>
      <c r="B15" s="685"/>
      <c r="C15" s="685"/>
      <c r="D15" s="686"/>
      <c r="E15" s="673"/>
      <c r="F15" s="500"/>
      <c r="H15" s="162"/>
      <c r="I15" s="457" t="b">
        <v>0</v>
      </c>
      <c r="J15" s="55" t="str">
        <f>IF(I15=TRUE, "x ", "")</f>
        <v/>
      </c>
      <c r="K15" s="457" t="b">
        <v>0</v>
      </c>
      <c r="L15" s="55" t="str">
        <f>IF(K15=TRUE, "x ", "")</f>
        <v/>
      </c>
    </row>
    <row r="16" spans="1:23" ht="15" customHeight="1">
      <c r="A16" s="733"/>
      <c r="B16" s="685"/>
      <c r="C16" s="685"/>
      <c r="D16" s="686"/>
      <c r="E16" s="673"/>
      <c r="F16" s="500"/>
      <c r="H16" s="162"/>
      <c r="I16" s="457" t="b">
        <v>0</v>
      </c>
      <c r="J16" s="55" t="str">
        <f>IF(I16=TRUE, "x ", "")</f>
        <v/>
      </c>
      <c r="K16" s="457" t="b">
        <v>0</v>
      </c>
      <c r="L16" s="55" t="str">
        <f>IF(K16=TRUE, "x ", "")</f>
        <v/>
      </c>
    </row>
    <row r="17" spans="1:20" ht="15" customHeight="1">
      <c r="A17" s="679"/>
      <c r="B17" s="679"/>
      <c r="C17" s="679"/>
      <c r="D17" s="680"/>
      <c r="E17" s="674"/>
      <c r="F17" s="500"/>
      <c r="H17" s="162"/>
      <c r="I17" s="457" t="b">
        <v>0</v>
      </c>
      <c r="J17" s="55" t="str">
        <f>IF(I17=TRUE, "x ", "")</f>
        <v/>
      </c>
      <c r="K17" s="457" t="b">
        <v>0</v>
      </c>
      <c r="L17" s="55" t="str">
        <f>IF(K17=TRUE, "x ", "")</f>
        <v/>
      </c>
    </row>
    <row r="18" spans="1:20" ht="15" customHeight="1">
      <c r="A18" s="687" t="s">
        <v>25</v>
      </c>
      <c r="B18" s="670"/>
      <c r="C18" s="670"/>
      <c r="D18" s="670"/>
      <c r="E18" s="670"/>
      <c r="F18" s="500"/>
    </row>
    <row r="19" spans="1:20" ht="15" customHeight="1">
      <c r="A19" s="322" t="s">
        <v>26</v>
      </c>
      <c r="B19" s="713" t="s">
        <v>27</v>
      </c>
      <c r="C19" s="670"/>
      <c r="D19" s="671"/>
      <c r="E19" s="508" t="s">
        <v>5</v>
      </c>
      <c r="F19" s="500"/>
      <c r="G19" s="147" t="s">
        <v>13</v>
      </c>
    </row>
    <row r="20" spans="1:20" ht="15" customHeight="1">
      <c r="A20" s="323" t="s">
        <v>28</v>
      </c>
      <c r="B20" s="316"/>
      <c r="C20" s="726" t="str">
        <f>IF(I20=TRUE,B10,"")</f>
        <v/>
      </c>
      <c r="D20" s="671"/>
      <c r="E20" s="507" t="s">
        <v>5</v>
      </c>
      <c r="F20" s="500"/>
      <c r="I20" s="457" t="b">
        <v>0</v>
      </c>
    </row>
    <row r="21" spans="1:20" ht="15" customHeight="1">
      <c r="A21" s="323" t="s">
        <v>29</v>
      </c>
      <c r="B21" s="316"/>
      <c r="C21" s="726" t="str">
        <f>IF(I21=TRUE,B11,"")</f>
        <v/>
      </c>
      <c r="D21" s="671"/>
      <c r="E21" s="507" t="s">
        <v>5</v>
      </c>
      <c r="F21" s="500"/>
      <c r="I21" s="457" t="b">
        <v>0</v>
      </c>
    </row>
    <row r="22" spans="1:20" ht="15" customHeight="1">
      <c r="A22" s="323" t="s">
        <v>30</v>
      </c>
      <c r="B22" s="701"/>
      <c r="C22" s="670"/>
      <c r="D22" s="671"/>
      <c r="E22" s="507" t="s">
        <v>5</v>
      </c>
      <c r="F22" s="500"/>
    </row>
    <row r="23" spans="1:20" ht="15" customHeight="1">
      <c r="A23" s="323" t="s">
        <v>31</v>
      </c>
      <c r="B23" s="701"/>
      <c r="C23" s="670"/>
      <c r="D23" s="671"/>
      <c r="E23" s="507" t="s">
        <v>5</v>
      </c>
      <c r="F23" s="384"/>
    </row>
    <row r="24" spans="1:20" ht="15" customHeight="1">
      <c r="A24" s="326" t="s">
        <v>32</v>
      </c>
      <c r="B24" s="742" t="s">
        <v>33</v>
      </c>
      <c r="C24" s="670"/>
      <c r="D24" s="671"/>
      <c r="E24" s="507" t="s">
        <v>5</v>
      </c>
      <c r="F24" s="500"/>
      <c r="I24" s="457" t="b">
        <v>0</v>
      </c>
      <c r="K24" s="457" t="b">
        <v>0</v>
      </c>
      <c r="M24" s="457" t="b">
        <v>0</v>
      </c>
      <c r="O24" s="457" t="s">
        <v>34</v>
      </c>
      <c r="Q24" s="457" t="b">
        <f>IF(I24=TRUE,IF(M24=TRUE,"WAHR","FALSCH"))</f>
        <v>0</v>
      </c>
    </row>
    <row r="25" spans="1:20" ht="15" customHeight="1">
      <c r="A25" s="326" t="s">
        <v>35</v>
      </c>
      <c r="B25" s="304" t="s">
        <v>36</v>
      </c>
      <c r="C25" s="306"/>
      <c r="D25" s="305" t="s">
        <v>37</v>
      </c>
      <c r="E25" s="507" t="s">
        <v>5</v>
      </c>
      <c r="F25" s="500"/>
    </row>
    <row r="26" spans="1:20" ht="15" customHeight="1">
      <c r="A26" s="326" t="s">
        <v>38</v>
      </c>
      <c r="B26" s="716"/>
      <c r="C26" s="670"/>
      <c r="D26" s="671"/>
      <c r="E26" s="507" t="s">
        <v>5</v>
      </c>
      <c r="F26" s="500"/>
      <c r="G26" s="147" t="str">
        <f>"-&gt; ü = " &amp; IF(K26=TRUE,(IF(M26=TRUE,10/0.4,IF(O26=TRUE,11/0.4,IF(Q26=TRUE,15/0.4,IF(S26=TRUE,20/0.4,"hüzs"))))),IF(M26=TRUE,10/0.8,IF(O26=TRUE,11/0.8,IF(Q26=TRUE,15/0.8,IF(S26=TRUE,20/0.8,"0,8")))))</f>
        <v>-&gt; ü = 0,8</v>
      </c>
      <c r="H26" s="147" t="str">
        <f>IF(I26=TRUE,"0,8 kV",(IF(K26=TRUE,"0,4 kV","?")))</f>
        <v>?</v>
      </c>
      <c r="I26" s="457" t="b">
        <v>0</v>
      </c>
      <c r="J26" s="457" t="b">
        <f>IF(I26=TRUE,0.8)</f>
        <v>0</v>
      </c>
      <c r="K26" s="457" t="b">
        <v>0</v>
      </c>
      <c r="L26" s="457" t="b">
        <f>IF(K26=TRUE,0.4)</f>
        <v>0</v>
      </c>
      <c r="M26" s="457" t="b">
        <v>0</v>
      </c>
      <c r="N26" s="457" t="b">
        <f>IF(M26=TRUE,10)</f>
        <v>0</v>
      </c>
      <c r="O26" s="457" t="b">
        <v>0</v>
      </c>
      <c r="P26" s="457" t="b">
        <f>IF(O26=TRUE,11)</f>
        <v>0</v>
      </c>
      <c r="Q26" s="457" t="b">
        <v>0</v>
      </c>
      <c r="R26" s="457" t="b">
        <f>IF(Q26=TRUE,15)</f>
        <v>0</v>
      </c>
      <c r="S26" s="457" t="b">
        <v>0</v>
      </c>
      <c r="T26" s="457" t="b">
        <f>IF(S26=TRUE,20)</f>
        <v>0</v>
      </c>
    </row>
    <row r="27" spans="1:20" ht="15" customHeight="1">
      <c r="A27" s="687" t="s">
        <v>39</v>
      </c>
      <c r="B27" s="670"/>
      <c r="C27" s="670"/>
      <c r="D27" s="670"/>
      <c r="E27" s="670"/>
      <c r="F27" s="500"/>
      <c r="G27" s="398"/>
      <c r="H27" s="457" t="str">
        <f>IF(K26=TRUE,(IF(M26=TRUE,10/0.4,IF(O26=TRUE,11/0.4,IF(Q26=TRUE,15/0.4,IF(S26=TRUE,20/0.4,"kein Trafo"))))),IF(M26=TRUE,10/0.8,IF(O26=TRUE,11/0.8,IF(Q26=TRUE,15/0.8,IF(S26=TRUE,20/0.8,"kein Trafo")))))</f>
        <v>kein Trafo</v>
      </c>
    </row>
    <row r="28" spans="1:20" ht="15" customHeight="1">
      <c r="A28" s="191" t="s">
        <v>40</v>
      </c>
      <c r="B28" s="371" t="s">
        <v>41</v>
      </c>
      <c r="C28" s="372" t="s">
        <v>42</v>
      </c>
      <c r="D28" s="513"/>
      <c r="E28" s="507" t="s">
        <v>5</v>
      </c>
      <c r="F28" s="738" t="s">
        <v>43</v>
      </c>
      <c r="G28" s="739"/>
      <c r="H28" s="685"/>
    </row>
    <row r="29" spans="1:20" ht="15" customHeight="1">
      <c r="A29" s="191" t="s">
        <v>44</v>
      </c>
      <c r="B29" s="723" t="s">
        <v>45</v>
      </c>
      <c r="C29" s="670"/>
      <c r="D29" s="306"/>
      <c r="E29" s="507" t="s">
        <v>5</v>
      </c>
      <c r="F29" s="500"/>
    </row>
    <row r="30" spans="1:20" ht="15" customHeight="1">
      <c r="A30" s="476" t="s">
        <v>46</v>
      </c>
      <c r="B30" s="723" t="s">
        <v>47</v>
      </c>
      <c r="C30" s="670"/>
      <c r="D30" s="513"/>
      <c r="E30" s="507" t="s">
        <v>5</v>
      </c>
      <c r="F30" s="500"/>
      <c r="I30" s="457" t="b">
        <v>0</v>
      </c>
    </row>
    <row r="31" spans="1:20" ht="15" customHeight="1">
      <c r="A31" s="191" t="s">
        <v>48</v>
      </c>
      <c r="B31" s="681"/>
      <c r="C31" s="670"/>
      <c r="D31" s="671"/>
      <c r="E31" s="507" t="s">
        <v>5</v>
      </c>
      <c r="F31" s="500"/>
      <c r="I31" s="457" t="b">
        <v>0</v>
      </c>
    </row>
    <row r="32" spans="1:20">
      <c r="A32" s="331" t="s">
        <v>49</v>
      </c>
      <c r="B32" s="503"/>
      <c r="C32" s="503"/>
      <c r="D32" s="503"/>
      <c r="E32" s="507" t="s">
        <v>5</v>
      </c>
      <c r="F32" s="500"/>
      <c r="I32" s="457" t="b">
        <v>0</v>
      </c>
      <c r="J32" s="2" t="str">
        <f>IF(I32=TRUE, "/ 1 A ", "")</f>
        <v/>
      </c>
      <c r="K32" s="457" t="b">
        <v>0</v>
      </c>
      <c r="L32" s="2" t="str">
        <f>IF(K32=TRUE, "/ 5 A ", "")</f>
        <v/>
      </c>
      <c r="M32" s="457" t="b">
        <v>0</v>
      </c>
      <c r="N32" s="2" t="str">
        <f>IF(M32=TRUE, "/ 1 A ", "")</f>
        <v/>
      </c>
      <c r="O32" s="457" t="b">
        <v>0</v>
      </c>
      <c r="P32" s="2" t="str">
        <f>IF(O32=TRUE, "/ 5 A ", "")</f>
        <v/>
      </c>
      <c r="Q32" s="457" t="b">
        <v>0</v>
      </c>
      <c r="R32" s="2" t="str">
        <f>IF(Q32=TRUE, "/ 1 A ", "")</f>
        <v/>
      </c>
      <c r="S32" s="457" t="b">
        <v>0</v>
      </c>
      <c r="T32" s="2" t="str">
        <f>IF(S32=TRUE, "/ 5 A ", "")</f>
        <v/>
      </c>
    </row>
    <row r="33" spans="1:17" ht="15" customHeight="1">
      <c r="A33" s="740" t="s">
        <v>50</v>
      </c>
      <c r="B33" s="192" t="s">
        <v>51</v>
      </c>
      <c r="C33" s="192" t="s">
        <v>52</v>
      </c>
      <c r="D33" s="192" t="s">
        <v>53</v>
      </c>
      <c r="E33" s="690" t="s">
        <v>5</v>
      </c>
      <c r="F33" s="500"/>
      <c r="M33" s="457" t="str">
        <f>IF(E105="x",IF(M32=TRUE,M32,IF(O32=TRUE,O32,"FALSCH")),"FALSCH")</f>
        <v>FALSCH</v>
      </c>
      <c r="Q33" s="457" t="str">
        <f>IF(E104="x",IF(Q32=TRUE,Q32,IF(S32=TRUE,S32,"FALSCH")),"FALSCH")</f>
        <v>FALSCH</v>
      </c>
    </row>
    <row r="34" spans="1:17" ht="15" customHeight="1">
      <c r="A34" s="741"/>
      <c r="B34" s="170"/>
      <c r="C34" s="171"/>
      <c r="D34" s="170"/>
      <c r="E34" s="673"/>
      <c r="F34" s="500"/>
      <c r="G34" s="457" t="str">
        <f>IF(I35=TRUE,J35,J36)&amp;IF(K35=TRUE,L35,L36)&amp;IF(M35=TRUE,N35,N36)</f>
        <v/>
      </c>
      <c r="H34" s="159" t="s">
        <v>54</v>
      </c>
      <c r="O34" s="457" t="str">
        <f>IF(M33=TRUE,M33,IF(Q33=TRUE,Q33,"FALSCH"))</f>
        <v>FALSCH</v>
      </c>
    </row>
    <row r="35" spans="1:17" ht="15" customHeight="1">
      <c r="A35" s="741"/>
      <c r="B35" s="170"/>
      <c r="C35" s="171"/>
      <c r="D35" s="170"/>
      <c r="E35" s="673"/>
      <c r="F35" s="500"/>
      <c r="G35" s="145" t="str">
        <f>IF(I35=TRUE,J35,J36)&amp;IF(K35=TRUE,L35,L36)&amp;IF(M35=TRUE,N35,N36)</f>
        <v/>
      </c>
      <c r="H35" s="146" t="s">
        <v>55</v>
      </c>
      <c r="I35" s="10" t="b">
        <v>0</v>
      </c>
      <c r="J35" s="2" t="str">
        <f>IF(I35=TRUE, "1S1 ", "")</f>
        <v/>
      </c>
      <c r="K35" s="10" t="b">
        <v>0</v>
      </c>
      <c r="L35" s="2" t="str">
        <f>IF(K35=TRUE, "2S1 ", "")</f>
        <v/>
      </c>
      <c r="M35" s="10" t="b">
        <v>0</v>
      </c>
      <c r="N35" s="55" t="str">
        <f>IF(M35=TRUE, "3S1 ", "")</f>
        <v/>
      </c>
    </row>
    <row r="36" spans="1:17" ht="15" customHeight="1">
      <c r="A36" s="741"/>
      <c r="B36" s="170"/>
      <c r="C36" s="171"/>
      <c r="D36" s="170"/>
      <c r="E36" s="674"/>
      <c r="F36" s="500"/>
      <c r="G36" s="147" t="str">
        <f>IF(I35=TRUE,J35,J36)&amp;IF(K35=TRUE,L35,L36)&amp;IF(M35=TRUE,N35,N36)</f>
        <v/>
      </c>
      <c r="H36" s="161" t="s">
        <v>56</v>
      </c>
      <c r="I36" s="10" t="b">
        <v>0</v>
      </c>
      <c r="J36" s="2" t="str">
        <f>IF(I36=TRUE, "1S2 ", "")</f>
        <v/>
      </c>
      <c r="K36" s="10" t="b">
        <v>0</v>
      </c>
      <c r="L36" s="2" t="str">
        <f>IF(K36=TRUE, "2S2 ", "")</f>
        <v/>
      </c>
      <c r="M36" s="10" t="b">
        <v>0</v>
      </c>
      <c r="N36" s="55" t="str">
        <f>IF(M36=TRUE, "3S2 ", "")</f>
        <v/>
      </c>
    </row>
    <row r="37" spans="1:17" ht="15" customHeight="1" thickBot="1">
      <c r="A37" s="687" t="s">
        <v>57</v>
      </c>
      <c r="B37" s="670"/>
      <c r="C37" s="670"/>
      <c r="D37" s="670"/>
      <c r="E37" s="670"/>
      <c r="F37" s="500"/>
      <c r="I37" s="10"/>
      <c r="J37" s="2"/>
      <c r="K37" s="10"/>
      <c r="L37" s="2"/>
      <c r="M37" s="10"/>
      <c r="N37" s="55"/>
    </row>
    <row r="38" spans="1:17" ht="17.25" customHeight="1" thickTop="1">
      <c r="A38" s="194" t="s">
        <v>58</v>
      </c>
      <c r="B38" s="735"/>
      <c r="C38" s="736"/>
      <c r="D38" s="737"/>
      <c r="E38" s="507" t="s">
        <v>5</v>
      </c>
      <c r="F38" s="500"/>
      <c r="I38" s="10" t="b">
        <v>0</v>
      </c>
      <c r="J38" s="2" t="str">
        <f>IF(I38=TRUE, "x", "")</f>
        <v/>
      </c>
      <c r="K38" s="10"/>
      <c r="L38" s="10"/>
      <c r="M38" s="10"/>
    </row>
    <row r="39" spans="1:17" ht="17.25" customHeight="1">
      <c r="A39" s="475" t="s">
        <v>59</v>
      </c>
      <c r="B39" s="725" t="s">
        <v>47</v>
      </c>
      <c r="C39" s="679"/>
      <c r="D39" s="680"/>
      <c r="E39" s="507" t="s">
        <v>5</v>
      </c>
      <c r="F39" s="500"/>
      <c r="I39" s="10" t="b">
        <v>0</v>
      </c>
      <c r="J39" s="2"/>
      <c r="K39" s="10"/>
      <c r="L39" s="10"/>
      <c r="M39" s="10"/>
    </row>
    <row r="40" spans="1:17" ht="15" customHeight="1">
      <c r="A40" s="195"/>
      <c r="B40" s="168" t="s">
        <v>51</v>
      </c>
      <c r="C40" s="169" t="s">
        <v>52</v>
      </c>
      <c r="D40" s="168"/>
      <c r="E40" s="690" t="s">
        <v>5</v>
      </c>
      <c r="F40" s="500"/>
      <c r="I40" s="10"/>
      <c r="J40" s="10"/>
      <c r="K40" s="10"/>
      <c r="L40" s="10"/>
      <c r="M40" s="10"/>
    </row>
    <row r="41" spans="1:17" ht="15" customHeight="1">
      <c r="A41" s="196" t="s">
        <v>49</v>
      </c>
      <c r="B41" s="170"/>
      <c r="C41" s="171"/>
      <c r="D41" s="170"/>
      <c r="E41" s="673"/>
      <c r="F41" s="500"/>
      <c r="G41" s="457" t="str">
        <f>IF(I42=TRUE,J42,J43)&amp;IF(K42=TRUE,L42,L43)&amp;IF(M42=TRUE,N42,N43)</f>
        <v/>
      </c>
      <c r="H41" s="159" t="s">
        <v>54</v>
      </c>
      <c r="I41" s="10" t="b">
        <v>0</v>
      </c>
      <c r="J41" s="2" t="str">
        <f>IF(I41=TRUE, "/ 1 A ", "")</f>
        <v/>
      </c>
      <c r="K41" s="10" t="b">
        <v>0</v>
      </c>
      <c r="L41" s="2" t="str">
        <f>IF(K41=TRUE, "/ 5 A ", "")</f>
        <v/>
      </c>
      <c r="M41" s="10" t="b">
        <v>0</v>
      </c>
      <c r="N41" s="2" t="str">
        <f>IF(M41=TRUE, "/ 1 A ", "")</f>
        <v/>
      </c>
      <c r="O41" s="457" t="b">
        <v>0</v>
      </c>
      <c r="P41" s="2" t="str">
        <f>IF(O41=TRUE, "/ 5 A ", "")</f>
        <v/>
      </c>
    </row>
    <row r="42" spans="1:17" ht="15" customHeight="1">
      <c r="A42" s="744" t="s">
        <v>60</v>
      </c>
      <c r="B42" s="170"/>
      <c r="C42" s="171"/>
      <c r="D42" s="170"/>
      <c r="E42" s="673"/>
      <c r="F42" s="500"/>
      <c r="G42" s="145" t="str">
        <f>IF(I42=TRUE,J42,J43)&amp;IF(K42=TRUE,L42,L43)&amp;IF(M42=TRUE,N42,N43)</f>
        <v/>
      </c>
      <c r="H42" s="146" t="s">
        <v>55</v>
      </c>
      <c r="I42" s="10" t="b">
        <v>0</v>
      </c>
      <c r="J42" s="2" t="str">
        <f>IF(I42=TRUE, "1S1 ", "")</f>
        <v/>
      </c>
      <c r="K42" s="10" t="b">
        <v>0</v>
      </c>
      <c r="L42" s="2" t="str">
        <f>IF(K42=TRUE, "2S1 ", "")</f>
        <v/>
      </c>
      <c r="M42" s="10"/>
    </row>
    <row r="43" spans="1:17" ht="15" customHeight="1">
      <c r="A43" s="709"/>
      <c r="B43" s="172"/>
      <c r="C43" s="173"/>
      <c r="D43" s="172"/>
      <c r="E43" s="674"/>
      <c r="F43" s="500"/>
      <c r="G43" s="147" t="str">
        <f>IF(I42=TRUE,J42,J43)&amp;IF(K42=TRUE,L42,L43)&amp;IF(M42=TRUE,N42,N43)</f>
        <v/>
      </c>
      <c r="H43" s="161" t="s">
        <v>56</v>
      </c>
      <c r="I43" s="10" t="b">
        <v>0</v>
      </c>
      <c r="J43" s="2" t="str">
        <f>IF(I43=TRUE, "1S2 ", "")</f>
        <v/>
      </c>
      <c r="K43" s="10" t="b">
        <v>0</v>
      </c>
      <c r="L43" s="2" t="str">
        <f>IF(K43=TRUE, "2S2 ", "")</f>
        <v/>
      </c>
      <c r="M43" s="10"/>
    </row>
    <row r="44" spans="1:17" ht="15" customHeight="1">
      <c r="A44" s="419" t="s">
        <v>48</v>
      </c>
      <c r="B44" s="681"/>
      <c r="C44" s="670"/>
      <c r="D44" s="671"/>
      <c r="E44" s="507" t="s">
        <v>5</v>
      </c>
      <c r="F44" s="500"/>
      <c r="I44" s="10" t="b">
        <v>0</v>
      </c>
      <c r="J44" s="2"/>
      <c r="K44" s="10"/>
      <c r="L44" s="2"/>
      <c r="M44" s="10"/>
    </row>
    <row r="45" spans="1:17" ht="15" customHeight="1">
      <c r="A45" s="197" t="s">
        <v>61</v>
      </c>
      <c r="B45" s="724" t="s">
        <v>62</v>
      </c>
      <c r="C45" s="670"/>
      <c r="D45" s="671"/>
      <c r="E45" s="507" t="s">
        <v>5</v>
      </c>
      <c r="F45" s="500"/>
      <c r="I45" s="10"/>
      <c r="J45" s="10"/>
      <c r="K45" s="10"/>
      <c r="L45" s="10"/>
      <c r="M45" s="10"/>
    </row>
    <row r="46" spans="1:17" ht="15" customHeight="1">
      <c r="A46" s="687" t="s">
        <v>63</v>
      </c>
      <c r="B46" s="670"/>
      <c r="C46" s="670"/>
      <c r="D46" s="670"/>
      <c r="E46" s="670"/>
      <c r="F46" s="500"/>
      <c r="I46" s="10"/>
      <c r="J46" s="10"/>
      <c r="K46" s="10"/>
      <c r="L46" s="10"/>
      <c r="M46" s="10"/>
    </row>
    <row r="47" spans="1:17" ht="15" customHeight="1">
      <c r="A47" s="333" t="s">
        <v>64</v>
      </c>
      <c r="B47" s="695" t="s">
        <v>65</v>
      </c>
      <c r="C47" s="696"/>
      <c r="D47" s="697"/>
      <c r="E47" s="690" t="s">
        <v>5</v>
      </c>
      <c r="F47" s="385" t="s">
        <v>66</v>
      </c>
      <c r="G47" s="457" t="str">
        <f>IF(K47=TRUE,"1n 2n "&amp;J48&amp;J49&amp;L49,(IF(I47=TRUE,"1n "&amp;J49&amp;L49, "")))</f>
        <v/>
      </c>
      <c r="H47" s="159" t="s">
        <v>54</v>
      </c>
      <c r="I47" s="10" t="b">
        <v>0</v>
      </c>
      <c r="J47" s="10"/>
      <c r="K47" s="10" t="b">
        <v>0</v>
      </c>
      <c r="L47" s="10"/>
      <c r="M47" s="10"/>
    </row>
    <row r="48" spans="1:17" ht="15" customHeight="1">
      <c r="A48" s="708" t="s">
        <v>67</v>
      </c>
      <c r="B48" s="685"/>
      <c r="C48" s="685"/>
      <c r="D48" s="686"/>
      <c r="E48" s="673"/>
      <c r="F48" s="500"/>
      <c r="G48" s="145" t="str">
        <f>IF(K47=TRUE,"1n 2n "&amp;J49&amp;L49,(IF(I47=TRUE,"1n "&amp;J49&amp;L49, "")))</f>
        <v/>
      </c>
      <c r="H48" s="146" t="s">
        <v>55</v>
      </c>
      <c r="I48" s="10" t="b">
        <v>0</v>
      </c>
      <c r="J48" s="2" t="str">
        <f>IF(I48=TRUE, "dn ", "")</f>
        <v/>
      </c>
      <c r="K48" s="10" t="b">
        <v>0</v>
      </c>
      <c r="L48" s="2" t="str">
        <f>IF(K48=TRUE, "dn ", "")</f>
        <v/>
      </c>
      <c r="M48" s="10"/>
    </row>
    <row r="49" spans="1:25" ht="15" customHeight="1">
      <c r="A49" s="709"/>
      <c r="B49" s="679"/>
      <c r="C49" s="679"/>
      <c r="D49" s="680"/>
      <c r="E49" s="674"/>
      <c r="F49" s="500"/>
      <c r="G49" s="457" t="str">
        <f>IF(K47=TRUE,"1n 2n "&amp;L48&amp;J49&amp;L49,(IF(I47=TRUE,"1n "&amp;J49&amp;L49, "")))</f>
        <v/>
      </c>
      <c r="H49" s="161" t="s">
        <v>56</v>
      </c>
      <c r="I49" s="10" t="b">
        <v>0</v>
      </c>
      <c r="J49" s="2" t="str">
        <f>IF(I49=TRUE, "N ", "")</f>
        <v/>
      </c>
      <c r="K49" s="10" t="b">
        <v>0</v>
      </c>
      <c r="L49" s="2" t="str">
        <f>IF(K49=TRUE, "PE ", "")</f>
        <v/>
      </c>
      <c r="M49" s="10"/>
    </row>
    <row r="50" spans="1:25" ht="15" customHeight="1">
      <c r="A50" s="476" t="s">
        <v>68</v>
      </c>
      <c r="B50" s="145" t="s">
        <v>69</v>
      </c>
      <c r="C50" s="155" t="s">
        <v>70</v>
      </c>
      <c r="D50" s="402"/>
      <c r="E50" s="508" t="s">
        <v>5</v>
      </c>
      <c r="F50" s="500" t="s">
        <v>71</v>
      </c>
      <c r="G50" s="457"/>
      <c r="I50" s="10"/>
      <c r="J50" s="2"/>
      <c r="K50" s="10"/>
      <c r="L50" s="2"/>
      <c r="M50" s="10"/>
    </row>
    <row r="51" spans="1:25" ht="20.25" customHeight="1">
      <c r="A51" s="331" t="s">
        <v>72</v>
      </c>
      <c r="B51" s="730"/>
      <c r="C51" s="696"/>
      <c r="D51" s="697"/>
      <c r="E51" s="508" t="s">
        <v>5</v>
      </c>
      <c r="F51" s="500"/>
      <c r="G51" s="147" t="b">
        <f>IF(I51=TRUE,10,IF(K51=TRUE,11,IF(M51=TRUE,15,IF(O51=TRUE,20,IF(Q51=TRUE,30)))))</f>
        <v>0</v>
      </c>
      <c r="I51" s="457" t="b">
        <v>0</v>
      </c>
      <c r="K51" s="457" t="b">
        <v>0</v>
      </c>
      <c r="M51" s="457" t="b">
        <v>0</v>
      </c>
      <c r="O51" s="457" t="b">
        <v>0</v>
      </c>
      <c r="Q51" s="457" t="b">
        <v>0</v>
      </c>
    </row>
    <row r="52" spans="1:25" ht="15" customHeight="1">
      <c r="A52" s="683" t="s">
        <v>73</v>
      </c>
      <c r="B52" s="670"/>
      <c r="C52" s="670"/>
      <c r="D52" s="670"/>
      <c r="E52" s="670"/>
      <c r="F52" s="386"/>
      <c r="G52" s="364"/>
    </row>
    <row r="53" spans="1:25" ht="15" customHeight="1">
      <c r="A53" s="332" t="s">
        <v>74</v>
      </c>
      <c r="B53" s="678"/>
      <c r="C53" s="679"/>
      <c r="D53" s="680"/>
      <c r="E53" s="509" t="s">
        <v>5</v>
      </c>
      <c r="F53" s="500"/>
    </row>
    <row r="54" spans="1:25" ht="15" customHeight="1">
      <c r="A54" s="332" t="s">
        <v>75</v>
      </c>
      <c r="B54" s="510"/>
      <c r="C54" s="510"/>
      <c r="D54" s="511"/>
      <c r="E54" s="509" t="s">
        <v>5</v>
      </c>
      <c r="F54" s="500"/>
    </row>
    <row r="55" spans="1:25" ht="15" customHeight="1">
      <c r="A55" s="191" t="s">
        <v>76</v>
      </c>
      <c r="B55" s="692"/>
      <c r="C55" s="670"/>
      <c r="D55" s="671"/>
      <c r="E55" s="507" t="s">
        <v>5</v>
      </c>
      <c r="F55" s="500"/>
    </row>
    <row r="56" spans="1:25" ht="15" customHeight="1">
      <c r="A56" s="191" t="s">
        <v>77</v>
      </c>
      <c r="B56" s="397" t="str">
        <f>IF(ISBLANK(D56),"Spannungsfaktoren EZE anpassen!","")</f>
        <v>Spannungsfaktoren EZE anpassen!</v>
      </c>
      <c r="C56" s="394" t="s">
        <v>78</v>
      </c>
      <c r="D56" s="498"/>
      <c r="E56" s="507" t="s">
        <v>5</v>
      </c>
      <c r="F56" s="500"/>
    </row>
    <row r="57" spans="1:25" ht="15" customHeight="1">
      <c r="A57" s="191" t="s">
        <v>79</v>
      </c>
      <c r="B57" s="496"/>
      <c r="C57" s="394"/>
      <c r="D57" s="498" t="s">
        <v>80</v>
      </c>
      <c r="E57" s="507" t="s">
        <v>5</v>
      </c>
      <c r="F57" s="500"/>
      <c r="G57" s="147" t="s">
        <v>13</v>
      </c>
    </row>
    <row r="58" spans="1:25" ht="15" customHeight="1">
      <c r="A58" s="191" t="s">
        <v>81</v>
      </c>
      <c r="B58" s="496"/>
      <c r="C58" s="496"/>
      <c r="D58" s="497"/>
      <c r="E58" s="507" t="s">
        <v>5</v>
      </c>
      <c r="F58" s="500"/>
    </row>
    <row r="59" spans="1:25" ht="15" customHeight="1">
      <c r="A59" s="683" t="s">
        <v>82</v>
      </c>
      <c r="B59" s="670"/>
      <c r="C59" s="670"/>
      <c r="D59" s="670"/>
      <c r="E59" s="670"/>
      <c r="F59" s="386"/>
      <c r="G59" s="364"/>
    </row>
    <row r="60" spans="1:25" ht="15" customHeight="1">
      <c r="A60" s="321" t="s">
        <v>83</v>
      </c>
      <c r="B60" s="145" t="s">
        <v>69</v>
      </c>
      <c r="C60" s="155" t="s">
        <v>70</v>
      </c>
      <c r="D60" s="167"/>
      <c r="E60" s="507" t="s">
        <v>5</v>
      </c>
      <c r="F60" s="500"/>
      <c r="G60" s="365"/>
    </row>
    <row r="61" spans="1:25" ht="15" customHeight="1">
      <c r="A61" s="321" t="s">
        <v>84</v>
      </c>
      <c r="B61" s="145" t="s">
        <v>85</v>
      </c>
      <c r="C61" s="325" t="s">
        <v>86</v>
      </c>
      <c r="D61" s="167"/>
      <c r="E61" s="507" t="s">
        <v>5</v>
      </c>
      <c r="F61" s="500"/>
      <c r="G61" s="365"/>
    </row>
    <row r="62" spans="1:25" ht="15" customHeight="1">
      <c r="A62" s="321" t="s">
        <v>87</v>
      </c>
      <c r="B62" s="692"/>
      <c r="C62" s="670"/>
      <c r="D62" s="671"/>
      <c r="E62" s="507" t="s">
        <v>5</v>
      </c>
      <c r="F62" s="500"/>
    </row>
    <row r="63" spans="1:25" ht="15" customHeight="1">
      <c r="A63" s="321" t="s">
        <v>88</v>
      </c>
      <c r="B63" s="496"/>
      <c r="C63" s="496"/>
      <c r="D63" s="497"/>
      <c r="E63" s="507" t="s">
        <v>5</v>
      </c>
      <c r="F63" s="500"/>
    </row>
    <row r="64" spans="1:25" ht="15" customHeight="1">
      <c r="A64" s="321" t="s">
        <v>89</v>
      </c>
      <c r="B64" s="692"/>
      <c r="C64" s="670"/>
      <c r="D64" s="671"/>
      <c r="E64" s="507" t="s">
        <v>5</v>
      </c>
      <c r="F64" s="500"/>
      <c r="H64" s="483"/>
      <c r="I64" s="483"/>
      <c r="J64" s="483"/>
      <c r="K64" s="483"/>
      <c r="L64" s="483"/>
      <c r="M64" s="483"/>
      <c r="N64" s="483"/>
      <c r="O64" s="483"/>
      <c r="P64" s="483"/>
      <c r="Q64" s="483"/>
      <c r="R64" s="483"/>
      <c r="S64" s="483"/>
      <c r="T64" s="483"/>
      <c r="U64" s="483"/>
      <c r="V64" s="483"/>
      <c r="W64" s="483"/>
      <c r="X64" s="483"/>
      <c r="Y64" s="483"/>
    </row>
    <row r="65" spans="1:25" ht="18.75" customHeight="1">
      <c r="A65" s="712" t="s">
        <v>90</v>
      </c>
      <c r="B65" s="145" t="s">
        <v>91</v>
      </c>
      <c r="C65" s="155" t="s">
        <v>92</v>
      </c>
      <c r="D65" s="498"/>
      <c r="E65" s="507" t="s">
        <v>5</v>
      </c>
      <c r="F65" s="500"/>
      <c r="G65" s="147" t="s">
        <v>13</v>
      </c>
      <c r="H65" s="484" t="str">
        <f>IF(ISBLANK(D65),"","Funktion in Ordnung -&gt; Wirkung auf MS-Leistungsschalter "&amp;D65)</f>
        <v/>
      </c>
      <c r="I65" s="483"/>
      <c r="J65" s="483"/>
      <c r="K65" s="483"/>
      <c r="L65" s="483"/>
      <c r="M65" s="483"/>
      <c r="N65" s="483"/>
      <c r="O65" s="483"/>
      <c r="P65" s="483"/>
      <c r="Q65" s="483"/>
      <c r="R65" s="483"/>
      <c r="S65" s="483"/>
      <c r="T65" s="483"/>
      <c r="U65" s="483"/>
      <c r="V65" s="483"/>
      <c r="W65" s="483"/>
      <c r="X65" s="483"/>
      <c r="Y65" s="483"/>
    </row>
    <row r="66" spans="1:25" ht="18.75" customHeight="1">
      <c r="A66" s="709"/>
      <c r="B66" s="145"/>
      <c r="C66" s="155" t="s">
        <v>93</v>
      </c>
      <c r="D66" s="213"/>
      <c r="E66" s="507" t="s">
        <v>5</v>
      </c>
      <c r="F66" s="500"/>
      <c r="G66" s="147" t="s">
        <v>13</v>
      </c>
      <c r="H66" s="484" t="str">
        <f>IF(ISBLANK(D66),"",(IF(D66="MS","Funktion in Ordnung -&gt; Wirkung auf MS-Leistungsschalter",IF(D66="NS","Funktion in Ordnung -&gt; Wirkung auf NS-Leistungsschalter"))))</f>
        <v/>
      </c>
      <c r="I66" s="483"/>
      <c r="J66" s="483"/>
      <c r="K66" s="483"/>
      <c r="L66" s="483"/>
      <c r="M66" s="483"/>
      <c r="N66" s="483"/>
      <c r="O66" s="483"/>
      <c r="P66" s="483"/>
      <c r="Q66" s="483"/>
      <c r="R66" s="483"/>
      <c r="S66" s="483"/>
      <c r="T66" s="483"/>
      <c r="U66" s="483"/>
      <c r="V66" s="483"/>
      <c r="W66" s="483"/>
      <c r="X66" s="483"/>
      <c r="Y66" s="483"/>
    </row>
    <row r="67" spans="1:25">
      <c r="A67" s="329" t="s">
        <v>94</v>
      </c>
      <c r="B67" s="314" t="s">
        <v>95</v>
      </c>
      <c r="C67" s="698" t="s">
        <v>96</v>
      </c>
      <c r="D67" s="697"/>
      <c r="E67" s="507" t="s">
        <v>5</v>
      </c>
      <c r="F67" s="500"/>
      <c r="H67" s="162"/>
    </row>
    <row r="68" spans="1:25">
      <c r="A68" s="485" t="s">
        <v>97</v>
      </c>
      <c r="B68" s="314" t="s">
        <v>98</v>
      </c>
      <c r="C68" s="698"/>
      <c r="D68" s="697"/>
      <c r="E68" s="507" t="s">
        <v>5</v>
      </c>
      <c r="F68" s="500"/>
      <c r="H68" s="162"/>
    </row>
    <row r="69" spans="1:25">
      <c r="A69" s="329" t="s">
        <v>99</v>
      </c>
      <c r="B69" s="691" t="s">
        <v>100</v>
      </c>
      <c r="C69" s="679"/>
      <c r="D69" s="486" t="s">
        <v>101</v>
      </c>
      <c r="E69" s="507" t="s">
        <v>5</v>
      </c>
      <c r="F69" s="500"/>
      <c r="H69" s="162"/>
    </row>
    <row r="70" spans="1:25" ht="15" customHeight="1">
      <c r="A70" s="321" t="s">
        <v>102</v>
      </c>
      <c r="B70" s="681"/>
      <c r="C70" s="670"/>
      <c r="D70" s="671"/>
      <c r="E70" s="507" t="s">
        <v>5</v>
      </c>
      <c r="F70" s="471" t="s">
        <v>103</v>
      </c>
      <c r="G70" s="478" t="s">
        <v>104</v>
      </c>
      <c r="I70" s="457" t="b">
        <v>0</v>
      </c>
      <c r="J70" s="55" t="str">
        <f>IF(I70=TRUE, "x", "")</f>
        <v/>
      </c>
      <c r="K70" s="457" t="b">
        <v>0</v>
      </c>
      <c r="L70" s="55" t="str">
        <f>IF(K70=TRUE, "x", "")</f>
        <v/>
      </c>
    </row>
    <row r="71" spans="1:25" ht="15" customHeight="1">
      <c r="A71" s="321" t="s">
        <v>105</v>
      </c>
      <c r="B71" s="681"/>
      <c r="C71" s="670"/>
      <c r="D71" s="671"/>
      <c r="E71" s="507" t="s">
        <v>5</v>
      </c>
      <c r="F71" s="471" t="s">
        <v>106</v>
      </c>
      <c r="I71" s="457" t="b">
        <v>0</v>
      </c>
      <c r="J71" s="55" t="str">
        <f>IF(I71=TRUE, "x", "")</f>
        <v/>
      </c>
      <c r="K71" s="457" t="b">
        <v>0</v>
      </c>
      <c r="L71" s="55" t="str">
        <f>IF(K71=TRUE, "x", "")</f>
        <v/>
      </c>
    </row>
    <row r="72" spans="1:25" ht="15" customHeight="1">
      <c r="A72" s="321" t="s">
        <v>107</v>
      </c>
      <c r="B72" s="681"/>
      <c r="C72" s="670"/>
      <c r="D72" s="671"/>
      <c r="E72" s="508" t="s">
        <v>5</v>
      </c>
      <c r="F72" s="500"/>
      <c r="I72" s="457" t="b">
        <v>0</v>
      </c>
      <c r="J72" s="55" t="str">
        <f>IF(I72=TRUE, "x", "")</f>
        <v/>
      </c>
      <c r="K72" s="457" t="b">
        <v>0</v>
      </c>
      <c r="L72" s="55" t="str">
        <f>IF(K72=TRUE, "x", "")</f>
        <v/>
      </c>
    </row>
    <row r="73" spans="1:25" ht="15" customHeight="1">
      <c r="A73" s="422" t="s">
        <v>108</v>
      </c>
      <c r="B73" s="692" t="s">
        <v>109</v>
      </c>
      <c r="C73" s="670"/>
      <c r="D73" s="671"/>
      <c r="E73" s="508" t="s">
        <v>5</v>
      </c>
      <c r="F73" s="500" t="s">
        <v>110</v>
      </c>
      <c r="J73" s="55"/>
    </row>
    <row r="74" spans="1:25" ht="15" customHeight="1">
      <c r="A74" s="340" t="s">
        <v>111</v>
      </c>
      <c r="B74" s="714" t="s">
        <v>112</v>
      </c>
      <c r="C74" s="670"/>
      <c r="D74" s="671"/>
      <c r="E74" s="507" t="s">
        <v>5</v>
      </c>
      <c r="F74" s="500"/>
      <c r="J74" s="55"/>
    </row>
    <row r="75" spans="1:25" ht="15" customHeight="1">
      <c r="A75" s="321" t="s">
        <v>113</v>
      </c>
      <c r="E75" s="508" t="s">
        <v>5</v>
      </c>
      <c r="F75" s="500"/>
      <c r="J75" s="55"/>
    </row>
    <row r="76" spans="1:25" ht="15" customHeight="1">
      <c r="A76" s="321" t="s">
        <v>114</v>
      </c>
      <c r="B76" s="692"/>
      <c r="C76" s="670"/>
      <c r="D76" s="671"/>
      <c r="E76" s="507" t="s">
        <v>5</v>
      </c>
      <c r="F76" s="500"/>
    </row>
    <row r="77" spans="1:25" ht="15" customHeight="1">
      <c r="A77" s="321" t="s">
        <v>115</v>
      </c>
      <c r="B77" s="692"/>
      <c r="C77" s="670"/>
      <c r="D77" s="671"/>
      <c r="E77" s="508" t="s">
        <v>5</v>
      </c>
      <c r="F77" s="500"/>
    </row>
    <row r="78" spans="1:25" ht="15" customHeight="1">
      <c r="A78" s="321" t="s">
        <v>116</v>
      </c>
      <c r="B78" s="692" t="s">
        <v>117</v>
      </c>
      <c r="C78" s="670"/>
      <c r="D78" s="671"/>
      <c r="E78" s="508" t="s">
        <v>5</v>
      </c>
      <c r="F78" s="500"/>
      <c r="G78" s="457"/>
    </row>
    <row r="79" spans="1:25" ht="15" customHeight="1">
      <c r="A79" s="327" t="s">
        <v>118</v>
      </c>
      <c r="B79" s="692" t="s">
        <v>119</v>
      </c>
      <c r="C79" s="670"/>
      <c r="D79" s="671"/>
      <c r="E79" s="508" t="s">
        <v>5</v>
      </c>
      <c r="F79" s="500"/>
      <c r="G79" s="457"/>
    </row>
    <row r="80" spans="1:25" ht="15" customHeight="1">
      <c r="A80" s="327" t="s">
        <v>120</v>
      </c>
      <c r="B80" s="496"/>
      <c r="C80" s="496"/>
      <c r="D80" s="496"/>
      <c r="E80" s="508" t="s">
        <v>5</v>
      </c>
      <c r="F80" s="500"/>
      <c r="G80" s="457"/>
    </row>
    <row r="81" spans="1:11" ht="15" customHeight="1">
      <c r="A81" s="683" t="s">
        <v>121</v>
      </c>
      <c r="B81" s="670"/>
      <c r="C81" s="670"/>
      <c r="D81" s="670"/>
      <c r="E81" s="670"/>
      <c r="F81" s="386"/>
      <c r="G81" s="367"/>
      <c r="H81" s="160"/>
    </row>
    <row r="82" spans="1:11" ht="15" customHeight="1">
      <c r="A82" s="326" t="s">
        <v>122</v>
      </c>
      <c r="B82" s="692"/>
      <c r="C82" s="670"/>
      <c r="D82" s="671"/>
      <c r="E82" s="507" t="s">
        <v>5</v>
      </c>
      <c r="F82" s="500"/>
      <c r="G82" s="160"/>
      <c r="H82" s="160"/>
    </row>
    <row r="83" spans="1:11" ht="15" customHeight="1">
      <c r="A83" s="328" t="s">
        <v>123</v>
      </c>
      <c r="B83" s="314" t="s">
        <v>124</v>
      </c>
      <c r="C83" s="698"/>
      <c r="D83" s="697"/>
      <c r="E83" s="507" t="s">
        <v>5</v>
      </c>
      <c r="F83" s="500"/>
      <c r="G83" s="160"/>
      <c r="H83" s="160"/>
    </row>
    <row r="84" spans="1:11" ht="15" customHeight="1">
      <c r="A84" s="326" t="s">
        <v>102</v>
      </c>
      <c r="B84" s="681"/>
      <c r="C84" s="670"/>
      <c r="D84" s="671"/>
      <c r="E84" s="507" t="s">
        <v>5</v>
      </c>
      <c r="F84" s="471" t="s">
        <v>103</v>
      </c>
      <c r="G84" s="478" t="s">
        <v>104</v>
      </c>
      <c r="H84" s="160"/>
      <c r="I84" s="457" t="b">
        <v>0</v>
      </c>
      <c r="J84" s="55" t="str">
        <f>IF(I84=TRUE, "x", "")</f>
        <v/>
      </c>
    </row>
    <row r="85" spans="1:11" ht="15" customHeight="1">
      <c r="A85" s="326" t="s">
        <v>125</v>
      </c>
      <c r="B85" s="681"/>
      <c r="C85" s="670"/>
      <c r="D85" s="671"/>
      <c r="E85" s="507" t="s">
        <v>5</v>
      </c>
      <c r="F85" s="471" t="s">
        <v>106</v>
      </c>
      <c r="G85" s="160"/>
      <c r="H85" s="160"/>
      <c r="I85" s="457" t="b">
        <v>0</v>
      </c>
    </row>
    <row r="86" spans="1:11" ht="15" customHeight="1">
      <c r="A86" s="334" t="s">
        <v>126</v>
      </c>
      <c r="B86" s="734"/>
      <c r="C86" s="696"/>
      <c r="D86" s="697"/>
      <c r="E86" s="507" t="s">
        <v>5</v>
      </c>
      <c r="F86" s="500"/>
      <c r="G86" s="160"/>
      <c r="H86" s="160"/>
    </row>
    <row r="87" spans="1:11" ht="15" customHeight="1">
      <c r="A87" s="428" t="s">
        <v>127</v>
      </c>
      <c r="B87" s="504"/>
      <c r="C87" s="692" t="s">
        <v>128</v>
      </c>
      <c r="D87" s="671"/>
      <c r="E87" s="507" t="s">
        <v>5</v>
      </c>
      <c r="F87" s="500"/>
      <c r="G87" s="160"/>
      <c r="H87" s="160"/>
    </row>
    <row r="88" spans="1:11" ht="15" customHeight="1">
      <c r="A88" s="335" t="s">
        <v>129</v>
      </c>
      <c r="B88" s="710"/>
      <c r="C88" s="670"/>
      <c r="D88" s="671"/>
      <c r="E88" s="507" t="s">
        <v>5</v>
      </c>
      <c r="F88" s="500"/>
      <c r="G88" s="160"/>
      <c r="H88" s="160"/>
      <c r="I88" s="457" t="b">
        <v>0</v>
      </c>
      <c r="J88" s="457" t="str">
        <f>IF(I88=TRUE,"600",IF(K88=TRUE,"900",""))</f>
        <v/>
      </c>
      <c r="K88" s="457" t="b">
        <v>0</v>
      </c>
    </row>
    <row r="89" spans="1:11" ht="15" customHeight="1">
      <c r="A89" s="336" t="s">
        <v>130</v>
      </c>
      <c r="B89" s="689"/>
      <c r="C89" s="670"/>
      <c r="D89" s="671"/>
      <c r="E89" s="507" t="s">
        <v>5</v>
      </c>
      <c r="F89" s="500"/>
      <c r="G89" s="160"/>
      <c r="H89" s="160"/>
    </row>
    <row r="90" spans="1:11" ht="15" customHeight="1">
      <c r="A90" s="482" t="s">
        <v>131</v>
      </c>
      <c r="B90" s="714" t="s">
        <v>132</v>
      </c>
      <c r="C90" s="670"/>
      <c r="D90" s="671"/>
      <c r="E90" s="507" t="s">
        <v>5</v>
      </c>
      <c r="F90" s="500"/>
      <c r="G90" s="160"/>
      <c r="H90" s="160"/>
    </row>
    <row r="91" spans="1:11" ht="15" customHeight="1">
      <c r="A91" s="393" t="s">
        <v>111</v>
      </c>
      <c r="B91" s="714" t="s">
        <v>133</v>
      </c>
      <c r="C91" s="670"/>
      <c r="D91" s="671"/>
      <c r="E91" s="508" t="s">
        <v>5</v>
      </c>
      <c r="F91" s="500"/>
      <c r="G91" s="160"/>
      <c r="H91" s="160"/>
    </row>
    <row r="92" spans="1:11" ht="15" customHeight="1">
      <c r="A92" s="337" t="s">
        <v>134</v>
      </c>
      <c r="B92" s="684" t="s">
        <v>135</v>
      </c>
      <c r="C92" s="685"/>
      <c r="D92" s="686"/>
      <c r="E92" s="156" t="s">
        <v>5</v>
      </c>
      <c r="F92" s="501"/>
      <c r="G92" s="161"/>
      <c r="H92" s="160"/>
    </row>
    <row r="93" spans="1:11" ht="14.25" customHeight="1">
      <c r="A93" s="683" t="s">
        <v>136</v>
      </c>
      <c r="B93" s="670"/>
      <c r="C93" s="670"/>
      <c r="D93" s="670"/>
      <c r="E93" s="670"/>
      <c r="F93" s="670"/>
      <c r="G93" s="670"/>
      <c r="H93" s="160"/>
    </row>
    <row r="94" spans="1:11">
      <c r="A94" s="341"/>
      <c r="B94" s="146"/>
      <c r="C94" s="344" t="s">
        <v>137</v>
      </c>
      <c r="D94" s="344" t="s">
        <v>138</v>
      </c>
      <c r="F94" s="387"/>
      <c r="G94" s="145"/>
      <c r="H94" s="160"/>
    </row>
    <row r="95" spans="1:11" ht="13.5" customHeight="1">
      <c r="A95" s="705" t="s">
        <v>139</v>
      </c>
      <c r="B95" s="727" t="s">
        <v>140</v>
      </c>
      <c r="C95" s="675" t="s">
        <v>141</v>
      </c>
      <c r="D95" s="344" t="s">
        <v>142</v>
      </c>
      <c r="E95" s="156" t="s">
        <v>5</v>
      </c>
      <c r="F95" s="387"/>
      <c r="G95" s="145"/>
      <c r="H95" s="160"/>
    </row>
    <row r="96" spans="1:11">
      <c r="A96" s="706"/>
      <c r="B96" s="728"/>
      <c r="C96" s="676"/>
      <c r="D96" s="344" t="s">
        <v>143</v>
      </c>
      <c r="E96" s="156" t="s">
        <v>5</v>
      </c>
      <c r="F96" s="387"/>
      <c r="G96" s="145"/>
      <c r="H96" s="160"/>
    </row>
    <row r="97" spans="1:8">
      <c r="A97" s="706"/>
      <c r="B97" s="728"/>
      <c r="C97" s="677"/>
      <c r="D97" s="344" t="s">
        <v>144</v>
      </c>
      <c r="E97" s="156" t="s">
        <v>5</v>
      </c>
      <c r="F97" s="387"/>
      <c r="G97" s="145"/>
      <c r="H97" s="160"/>
    </row>
    <row r="98" spans="1:8">
      <c r="A98" s="706"/>
      <c r="B98" s="728"/>
      <c r="C98" s="675" t="s">
        <v>145</v>
      </c>
      <c r="D98" s="344" t="s">
        <v>146</v>
      </c>
      <c r="E98" s="156" t="s">
        <v>5</v>
      </c>
      <c r="F98" s="387"/>
      <c r="G98" s="145"/>
      <c r="H98" s="160"/>
    </row>
    <row r="99" spans="1:8">
      <c r="A99" s="706"/>
      <c r="B99" s="728"/>
      <c r="C99" s="676"/>
      <c r="D99" s="344" t="s">
        <v>147</v>
      </c>
      <c r="E99" s="156" t="s">
        <v>5</v>
      </c>
      <c r="F99" s="387"/>
      <c r="G99" s="145"/>
      <c r="H99" s="160"/>
    </row>
    <row r="100" spans="1:8">
      <c r="A100" s="706"/>
      <c r="B100" s="728"/>
      <c r="C100" s="677"/>
      <c r="D100" s="344" t="s">
        <v>148</v>
      </c>
      <c r="E100" s="156" t="s">
        <v>5</v>
      </c>
      <c r="F100" s="387"/>
      <c r="G100" s="145"/>
      <c r="H100" s="160"/>
    </row>
    <row r="101" spans="1:8">
      <c r="A101" s="706"/>
      <c r="B101" s="728"/>
      <c r="C101" s="689" t="s">
        <v>149</v>
      </c>
      <c r="D101" s="344" t="s">
        <v>150</v>
      </c>
      <c r="E101" s="156" t="s">
        <v>5</v>
      </c>
      <c r="F101" s="387"/>
      <c r="G101" s="145"/>
      <c r="H101" s="160"/>
    </row>
    <row r="102" spans="1:8">
      <c r="A102" s="706"/>
      <c r="B102" s="728"/>
      <c r="C102" s="676"/>
      <c r="D102" s="344" t="s">
        <v>151</v>
      </c>
      <c r="E102" s="156" t="s">
        <v>5</v>
      </c>
      <c r="F102" s="387"/>
      <c r="G102" s="145"/>
      <c r="H102" s="160"/>
    </row>
    <row r="103" spans="1:8">
      <c r="A103" s="706"/>
      <c r="B103" s="729"/>
      <c r="C103" s="677"/>
      <c r="D103" s="344" t="s">
        <v>152</v>
      </c>
      <c r="E103" s="156" t="s">
        <v>5</v>
      </c>
      <c r="F103" s="387"/>
      <c r="G103" s="145"/>
      <c r="H103" s="160"/>
    </row>
    <row r="104" spans="1:8" ht="29.25" customHeight="1">
      <c r="A104" s="706"/>
      <c r="B104" s="699" t="s">
        <v>153</v>
      </c>
      <c r="C104" s="670"/>
      <c r="D104" s="671"/>
      <c r="E104" s="156" t="s">
        <v>5</v>
      </c>
      <c r="F104" s="387"/>
      <c r="G104" s="672" t="s">
        <v>154</v>
      </c>
      <c r="H104" s="160"/>
    </row>
    <row r="105" spans="1:8" ht="29.25" customHeight="1">
      <c r="A105" s="706"/>
      <c r="B105" s="699" t="s">
        <v>155</v>
      </c>
      <c r="C105" s="670"/>
      <c r="D105" s="671"/>
      <c r="E105" s="156" t="s">
        <v>5</v>
      </c>
      <c r="F105" s="387"/>
      <c r="G105" s="674"/>
      <c r="H105" s="160"/>
    </row>
    <row r="106" spans="1:8" ht="13.5" customHeight="1">
      <c r="A106" s="706"/>
      <c r="B106" s="743" t="s">
        <v>156</v>
      </c>
      <c r="C106" s="689" t="s">
        <v>149</v>
      </c>
      <c r="D106" s="344" t="s">
        <v>150</v>
      </c>
      <c r="E106" s="156" t="s">
        <v>5</v>
      </c>
      <c r="F106" s="387"/>
      <c r="G106" s="145"/>
      <c r="H106" s="160"/>
    </row>
    <row r="107" spans="1:8" ht="13.5" customHeight="1">
      <c r="A107" s="706"/>
      <c r="B107" s="728"/>
      <c r="C107" s="676"/>
      <c r="D107" s="344" t="s">
        <v>151</v>
      </c>
      <c r="E107" s="156" t="s">
        <v>5</v>
      </c>
      <c r="F107" s="387"/>
      <c r="G107" s="145"/>
      <c r="H107" s="160"/>
    </row>
    <row r="108" spans="1:8">
      <c r="A108" s="706"/>
      <c r="B108" s="729"/>
      <c r="C108" s="677"/>
      <c r="D108" s="344" t="s">
        <v>152</v>
      </c>
      <c r="E108" s="156" t="s">
        <v>5</v>
      </c>
      <c r="F108" s="387"/>
      <c r="G108" s="145"/>
      <c r="H108" s="160"/>
    </row>
    <row r="109" spans="1:8" ht="27" customHeight="1">
      <c r="A109" s="706"/>
      <c r="B109" s="699" t="s">
        <v>153</v>
      </c>
      <c r="C109" s="670"/>
      <c r="D109" s="671"/>
      <c r="E109" s="156" t="s">
        <v>5</v>
      </c>
      <c r="F109" s="499"/>
      <c r="H109" s="160"/>
    </row>
    <row r="110" spans="1:8" ht="15.75" customHeight="1">
      <c r="A110" s="707"/>
      <c r="B110" s="342" t="s">
        <v>157</v>
      </c>
      <c r="C110" s="343"/>
      <c r="D110" s="343"/>
      <c r="E110" s="156" t="s">
        <v>5</v>
      </c>
      <c r="F110" s="387"/>
      <c r="G110" s="145"/>
      <c r="H110" s="160"/>
    </row>
    <row r="111" spans="1:8" ht="13.5" customHeight="1">
      <c r="A111" s="688" t="s">
        <v>158</v>
      </c>
      <c r="B111" s="700" t="s">
        <v>159</v>
      </c>
      <c r="C111" s="689" t="s">
        <v>160</v>
      </c>
      <c r="D111" s="344" t="s">
        <v>161</v>
      </c>
      <c r="E111" s="156" t="s">
        <v>5</v>
      </c>
      <c r="F111" s="499"/>
      <c r="G111" s="672" t="s">
        <v>162</v>
      </c>
      <c r="H111" s="731" t="s">
        <v>163</v>
      </c>
    </row>
    <row r="112" spans="1:8" ht="13.5" customHeight="1">
      <c r="A112" s="673"/>
      <c r="B112" s="686"/>
      <c r="C112" s="676"/>
      <c r="D112" s="344" t="s">
        <v>164</v>
      </c>
      <c r="E112" s="156" t="s">
        <v>5</v>
      </c>
      <c r="F112" s="500"/>
      <c r="G112" s="673"/>
      <c r="H112" s="676"/>
    </row>
    <row r="113" spans="1:8">
      <c r="A113" s="673"/>
      <c r="B113" s="686"/>
      <c r="C113" s="677"/>
      <c r="D113" s="344" t="s">
        <v>165</v>
      </c>
      <c r="E113" s="156" t="s">
        <v>5</v>
      </c>
      <c r="F113" s="501"/>
      <c r="G113" s="674"/>
      <c r="H113" s="676"/>
    </row>
    <row r="114" spans="1:8">
      <c r="A114" s="673"/>
      <c r="B114" s="686"/>
      <c r="C114" s="689" t="s">
        <v>166</v>
      </c>
      <c r="D114" s="344" t="s">
        <v>161</v>
      </c>
      <c r="E114" s="156" t="s">
        <v>5</v>
      </c>
      <c r="F114" s="499"/>
      <c r="G114" s="672" t="s">
        <v>167</v>
      </c>
      <c r="H114" s="676"/>
    </row>
    <row r="115" spans="1:8">
      <c r="A115" s="673"/>
      <c r="B115" s="686"/>
      <c r="C115" s="676"/>
      <c r="D115" s="344" t="s">
        <v>164</v>
      </c>
      <c r="E115" s="156" t="s">
        <v>5</v>
      </c>
      <c r="F115" s="500"/>
      <c r="G115" s="673"/>
      <c r="H115" s="676"/>
    </row>
    <row r="116" spans="1:8">
      <c r="A116" s="673"/>
      <c r="B116" s="686"/>
      <c r="C116" s="677"/>
      <c r="D116" s="344" t="s">
        <v>165</v>
      </c>
      <c r="E116" s="156" t="s">
        <v>5</v>
      </c>
      <c r="F116" s="501"/>
      <c r="G116" s="674"/>
      <c r="H116" s="676"/>
    </row>
    <row r="117" spans="1:8">
      <c r="A117" s="673"/>
      <c r="B117" s="686"/>
      <c r="C117" s="689" t="s">
        <v>168</v>
      </c>
      <c r="D117" s="344" t="s">
        <v>161</v>
      </c>
      <c r="E117" s="156" t="s">
        <v>5</v>
      </c>
      <c r="F117" s="499"/>
      <c r="G117" s="672" t="s">
        <v>167</v>
      </c>
      <c r="H117" s="676"/>
    </row>
    <row r="118" spans="1:8">
      <c r="A118" s="673"/>
      <c r="B118" s="686"/>
      <c r="C118" s="676"/>
      <c r="D118" s="344" t="s">
        <v>164</v>
      </c>
      <c r="E118" s="156" t="s">
        <v>5</v>
      </c>
      <c r="F118" s="500"/>
      <c r="G118" s="673"/>
      <c r="H118" s="676"/>
    </row>
    <row r="119" spans="1:8">
      <c r="A119" s="673"/>
      <c r="B119" s="680"/>
      <c r="C119" s="677"/>
      <c r="D119" s="344" t="s">
        <v>165</v>
      </c>
      <c r="E119" s="156" t="s">
        <v>5</v>
      </c>
      <c r="F119" s="501"/>
      <c r="G119" s="674"/>
      <c r="H119" s="677"/>
    </row>
    <row r="120" spans="1:8">
      <c r="A120" s="673"/>
      <c r="B120" s="711" t="s">
        <v>169</v>
      </c>
      <c r="C120" s="689" t="s">
        <v>170</v>
      </c>
      <c r="D120" s="344" t="s">
        <v>171</v>
      </c>
      <c r="E120" s="156" t="s">
        <v>5</v>
      </c>
      <c r="F120" s="499"/>
      <c r="G120" s="672" t="s">
        <v>172</v>
      </c>
      <c r="H120" s="160"/>
    </row>
    <row r="121" spans="1:8">
      <c r="A121" s="673"/>
      <c r="B121" s="676"/>
      <c r="C121" s="676"/>
      <c r="D121" s="344" t="s">
        <v>173</v>
      </c>
      <c r="E121" s="156" t="s">
        <v>5</v>
      </c>
      <c r="F121" s="500"/>
      <c r="G121" s="673"/>
      <c r="H121" s="160"/>
    </row>
    <row r="122" spans="1:8">
      <c r="A122" s="673"/>
      <c r="B122" s="676"/>
      <c r="C122" s="676"/>
      <c r="D122" s="344" t="s">
        <v>174</v>
      </c>
      <c r="E122" s="156" t="s">
        <v>5</v>
      </c>
      <c r="F122" s="500"/>
      <c r="G122" s="673"/>
      <c r="H122" s="160"/>
    </row>
    <row r="123" spans="1:8">
      <c r="A123" s="673"/>
      <c r="B123" s="677"/>
      <c r="C123" s="677"/>
      <c r="D123" s="344" t="s">
        <v>175</v>
      </c>
      <c r="E123" s="156" t="s">
        <v>5</v>
      </c>
      <c r="F123" s="501"/>
      <c r="G123" s="674"/>
      <c r="H123" s="160"/>
    </row>
    <row r="124" spans="1:8" ht="25.5" customHeight="1">
      <c r="A124" s="673"/>
      <c r="B124" s="434" t="s">
        <v>176</v>
      </c>
      <c r="C124" s="435" t="s">
        <v>177</v>
      </c>
      <c r="D124" s="145"/>
      <c r="E124" s="156" t="s">
        <v>5</v>
      </c>
      <c r="F124" s="388"/>
      <c r="G124" s="436" t="s">
        <v>178</v>
      </c>
      <c r="H124" s="160"/>
    </row>
    <row r="125" spans="1:8" ht="25.5" customHeight="1">
      <c r="A125" s="674"/>
      <c r="B125" s="694" t="s">
        <v>179</v>
      </c>
      <c r="C125" s="670"/>
      <c r="D125" s="670"/>
      <c r="E125" s="156" t="s">
        <v>5</v>
      </c>
      <c r="F125" s="388"/>
      <c r="G125" s="368" t="s">
        <v>180</v>
      </c>
      <c r="H125" s="160"/>
    </row>
    <row r="126" spans="1:8" ht="15.75" customHeight="1">
      <c r="A126" s="683" t="s">
        <v>181</v>
      </c>
      <c r="B126" s="670"/>
      <c r="C126" s="670"/>
      <c r="D126" s="670"/>
      <c r="E126" s="670"/>
      <c r="F126" s="389"/>
      <c r="G126" s="367"/>
      <c r="H126" s="160"/>
    </row>
    <row r="127" spans="1:8" ht="15.75" customHeight="1">
      <c r="A127" s="332" t="s">
        <v>182</v>
      </c>
      <c r="B127" s="338"/>
      <c r="C127" s="338"/>
      <c r="D127" s="339"/>
      <c r="E127" s="509" t="s">
        <v>5</v>
      </c>
      <c r="F127" s="502"/>
      <c r="G127" s="160"/>
      <c r="H127" s="160"/>
    </row>
    <row r="128" spans="1:8" ht="15.75" customHeight="1">
      <c r="A128" s="191" t="s">
        <v>183</v>
      </c>
      <c r="B128" s="505" t="s">
        <v>184</v>
      </c>
      <c r="C128" s="505"/>
      <c r="D128" s="506"/>
      <c r="E128" s="507" t="s">
        <v>5</v>
      </c>
      <c r="F128" s="502"/>
      <c r="G128" s="160"/>
      <c r="H128" s="160"/>
    </row>
    <row r="129" spans="1:8" ht="15.75" customHeight="1">
      <c r="A129" s="191" t="s">
        <v>185</v>
      </c>
      <c r="B129" s="505"/>
      <c r="C129" s="505"/>
      <c r="D129" s="506"/>
      <c r="E129" s="507" t="s">
        <v>5</v>
      </c>
      <c r="F129" s="502"/>
      <c r="G129" s="160"/>
      <c r="H129" s="160"/>
    </row>
    <row r="130" spans="1:8" ht="15.75" customHeight="1">
      <c r="A130" s="191" t="s">
        <v>186</v>
      </c>
      <c r="B130" s="505" t="s">
        <v>187</v>
      </c>
      <c r="C130" s="505"/>
      <c r="D130" s="506"/>
      <c r="E130" s="507" t="s">
        <v>5</v>
      </c>
      <c r="F130" s="502"/>
      <c r="G130" s="160"/>
      <c r="H130" s="160"/>
    </row>
    <row r="131" spans="1:8" ht="15.75" customHeight="1">
      <c r="A131" s="191" t="s">
        <v>188</v>
      </c>
      <c r="B131" s="505" t="s">
        <v>189</v>
      </c>
      <c r="C131" s="505"/>
      <c r="D131" s="506"/>
      <c r="E131" s="507" t="s">
        <v>5</v>
      </c>
      <c r="F131" s="502"/>
      <c r="G131" s="160"/>
      <c r="H131" s="160"/>
    </row>
    <row r="132" spans="1:8" ht="15.75" customHeight="1">
      <c r="A132" s="191" t="s">
        <v>190</v>
      </c>
      <c r="B132" s="505"/>
      <c r="C132" s="505"/>
      <c r="D132" s="506"/>
      <c r="E132" s="507" t="s">
        <v>5</v>
      </c>
      <c r="F132" s="502"/>
      <c r="G132" s="160"/>
      <c r="H132" s="160"/>
    </row>
    <row r="133" spans="1:8" ht="15.75" customHeight="1">
      <c r="A133" s="683" t="s">
        <v>191</v>
      </c>
      <c r="B133" s="670"/>
      <c r="C133" s="670"/>
      <c r="D133" s="670"/>
      <c r="E133" s="670"/>
      <c r="F133" s="502"/>
      <c r="G133" s="160"/>
      <c r="H133" s="160"/>
    </row>
    <row r="134" spans="1:8" ht="15.75" customHeight="1">
      <c r="A134" s="191" t="s">
        <v>192</v>
      </c>
      <c r="B134" s="494" t="s">
        <v>193</v>
      </c>
      <c r="C134" s="507" t="s">
        <v>5</v>
      </c>
      <c r="D134" s="495" t="s">
        <v>194</v>
      </c>
      <c r="E134" s="507" t="s">
        <v>5</v>
      </c>
      <c r="F134" s="502"/>
      <c r="G134" s="160"/>
      <c r="H134" s="160"/>
    </row>
    <row r="135" spans="1:8" ht="15.75" customHeight="1">
      <c r="A135" s="191" t="s">
        <v>195</v>
      </c>
      <c r="B135" s="505" t="s">
        <v>196</v>
      </c>
      <c r="C135" s="505"/>
      <c r="D135" s="506"/>
      <c r="E135" s="424"/>
      <c r="F135" s="502"/>
      <c r="G135" s="160"/>
      <c r="H135" s="160"/>
    </row>
    <row r="136" spans="1:8" ht="15.75" customHeight="1">
      <c r="A136" s="457"/>
      <c r="B136" s="693" t="s">
        <v>197</v>
      </c>
      <c r="C136" s="670"/>
      <c r="D136" s="670"/>
      <c r="E136" s="671"/>
      <c r="F136" s="502"/>
      <c r="G136" s="160"/>
      <c r="H136" s="160"/>
    </row>
    <row r="137" spans="1:8" ht="15.75" customHeight="1">
      <c r="A137" s="683" t="s">
        <v>2</v>
      </c>
      <c r="B137" s="670"/>
      <c r="C137" s="670"/>
      <c r="D137" s="670"/>
      <c r="E137" s="670"/>
      <c r="F137" s="390"/>
      <c r="G137" s="369"/>
      <c r="H137" s="160"/>
    </row>
    <row r="138" spans="1:8" s="433" customFormat="1" ht="27.75" customHeight="1">
      <c r="A138" s="391" t="s">
        <v>198</v>
      </c>
      <c r="B138" s="669" t="s">
        <v>944</v>
      </c>
      <c r="C138" s="670"/>
      <c r="D138" s="670"/>
      <c r="E138" s="670"/>
      <c r="F138" s="670"/>
      <c r="G138" s="671"/>
      <c r="H138" s="432"/>
    </row>
    <row r="139" spans="1:8" s="433" customFormat="1" ht="27.75" customHeight="1">
      <c r="A139" s="391" t="s">
        <v>199</v>
      </c>
      <c r="B139" s="669" t="s">
        <v>945</v>
      </c>
      <c r="C139" s="670"/>
      <c r="D139" s="670"/>
      <c r="E139" s="670"/>
      <c r="F139" s="670"/>
      <c r="G139" s="671"/>
    </row>
    <row r="140" spans="1:8" s="433" customFormat="1" ht="27.75" customHeight="1">
      <c r="A140" s="391" t="s">
        <v>200</v>
      </c>
      <c r="B140" s="669" t="s">
        <v>946</v>
      </c>
      <c r="C140" s="670"/>
      <c r="D140" s="670"/>
      <c r="E140" s="670"/>
      <c r="F140" s="670"/>
      <c r="G140" s="671"/>
    </row>
    <row r="141" spans="1:8" s="433" customFormat="1" ht="27.75" customHeight="1">
      <c r="A141" s="391" t="s">
        <v>201</v>
      </c>
      <c r="B141" s="669"/>
      <c r="C141" s="670"/>
      <c r="D141" s="670"/>
      <c r="E141" s="670"/>
      <c r="F141" s="670"/>
      <c r="G141" s="671"/>
    </row>
    <row r="142" spans="1:8" s="433" customFormat="1" ht="27.75" customHeight="1">
      <c r="A142" s="391" t="s">
        <v>202</v>
      </c>
      <c r="B142" s="669"/>
      <c r="C142" s="670"/>
      <c r="D142" s="670"/>
      <c r="E142" s="670"/>
      <c r="F142" s="670"/>
      <c r="G142" s="671"/>
    </row>
    <row r="143" spans="1:8" s="433" customFormat="1" ht="27.75" customHeight="1">
      <c r="A143" s="391" t="s">
        <v>203</v>
      </c>
      <c r="B143" s="669"/>
      <c r="C143" s="670"/>
      <c r="D143" s="670"/>
      <c r="E143" s="670"/>
      <c r="F143" s="670"/>
      <c r="G143" s="671"/>
    </row>
    <row r="144" spans="1:8" s="433" customFormat="1" ht="27.75" customHeight="1">
      <c r="A144" s="391" t="s">
        <v>204</v>
      </c>
      <c r="B144" s="669"/>
      <c r="C144" s="670"/>
      <c r="D144" s="670"/>
      <c r="E144" s="670"/>
      <c r="F144" s="670"/>
      <c r="G144" s="671"/>
    </row>
    <row r="145" spans="1:7" s="433" customFormat="1" ht="27.75" customHeight="1">
      <c r="A145" s="391" t="s">
        <v>205</v>
      </c>
      <c r="B145" s="669"/>
      <c r="C145" s="670"/>
      <c r="D145" s="670"/>
      <c r="E145" s="670"/>
      <c r="F145" s="670"/>
      <c r="G145" s="671"/>
    </row>
    <row r="146" spans="1:7" s="433" customFormat="1" ht="27.75" customHeight="1">
      <c r="A146" s="391" t="s">
        <v>206</v>
      </c>
      <c r="B146" s="669"/>
      <c r="C146" s="670"/>
      <c r="D146" s="670"/>
      <c r="E146" s="670"/>
      <c r="F146" s="670"/>
      <c r="G146" s="671"/>
    </row>
    <row r="147" spans="1:7" s="433" customFormat="1" ht="27.75" customHeight="1">
      <c r="A147" s="392" t="s">
        <v>207</v>
      </c>
      <c r="B147" s="682"/>
      <c r="C147" s="670"/>
      <c r="D147" s="670"/>
      <c r="E147" s="670"/>
      <c r="F147" s="670"/>
      <c r="G147" s="671"/>
    </row>
    <row r="148" spans="1:7">
      <c r="E148" s="157"/>
      <c r="F148" s="157"/>
      <c r="G148" s="457"/>
    </row>
    <row r="149" spans="1:7">
      <c r="E149" s="157"/>
      <c r="F149" s="157"/>
      <c r="G149" s="457"/>
    </row>
    <row r="150" spans="1:7">
      <c r="E150" s="157"/>
      <c r="F150" s="157"/>
      <c r="G150" s="457"/>
    </row>
    <row r="151" spans="1:7">
      <c r="E151" s="157"/>
      <c r="F151" s="157"/>
      <c r="G151" s="457"/>
    </row>
    <row r="152" spans="1:7">
      <c r="E152" s="157"/>
      <c r="F152" s="157"/>
      <c r="G152" s="457"/>
    </row>
    <row r="153" spans="1:7">
      <c r="E153" s="157"/>
      <c r="F153" s="157"/>
      <c r="G153" s="457"/>
    </row>
    <row r="154" spans="1:7">
      <c r="E154" s="157"/>
      <c r="F154" s="157"/>
      <c r="G154" s="457"/>
    </row>
    <row r="155" spans="1:7">
      <c r="E155" s="157"/>
      <c r="F155" s="157"/>
      <c r="G155" s="457"/>
    </row>
    <row r="156" spans="1:7">
      <c r="E156" s="157"/>
      <c r="F156" s="157"/>
      <c r="G156" s="457"/>
    </row>
    <row r="157" spans="1:7">
      <c r="E157" s="157"/>
      <c r="F157" s="157"/>
      <c r="G157" s="457"/>
    </row>
    <row r="158" spans="1:7">
      <c r="E158" s="157"/>
      <c r="F158" s="157"/>
      <c r="G158" s="457"/>
    </row>
    <row r="159" spans="1:7">
      <c r="E159" s="157"/>
      <c r="F159" s="157"/>
      <c r="G159" s="457"/>
    </row>
    <row r="160" spans="1:7">
      <c r="E160" s="157"/>
      <c r="F160" s="157"/>
      <c r="G160" s="457"/>
    </row>
    <row r="161" spans="5:7">
      <c r="E161" s="157"/>
      <c r="F161" s="157"/>
      <c r="G161" s="457"/>
    </row>
    <row r="162" spans="5:7">
      <c r="E162" s="157"/>
      <c r="F162" s="157"/>
      <c r="G162" s="457"/>
    </row>
    <row r="163" spans="5:7">
      <c r="E163" s="157"/>
      <c r="F163" s="157"/>
      <c r="G163" s="457"/>
    </row>
    <row r="164" spans="5:7">
      <c r="E164" s="157"/>
      <c r="F164" s="157"/>
      <c r="G164" s="457"/>
    </row>
    <row r="165" spans="5:7">
      <c r="E165" s="157"/>
      <c r="F165" s="157"/>
      <c r="G165" s="457"/>
    </row>
    <row r="166" spans="5:7">
      <c r="E166" s="157"/>
      <c r="F166" s="157"/>
      <c r="G166" s="457"/>
    </row>
    <row r="167" spans="5:7">
      <c r="E167" s="157"/>
      <c r="F167" s="157"/>
      <c r="G167" s="457"/>
    </row>
    <row r="168" spans="5:7">
      <c r="E168" s="157"/>
      <c r="F168" s="157"/>
      <c r="G168" s="457"/>
    </row>
    <row r="169" spans="5:7">
      <c r="E169" s="157"/>
      <c r="F169" s="157"/>
      <c r="G169" s="457"/>
    </row>
    <row r="170" spans="5:7">
      <c r="E170" s="157"/>
      <c r="F170" s="157"/>
      <c r="G170" s="457"/>
    </row>
    <row r="171" spans="5:7">
      <c r="E171" s="157"/>
      <c r="F171" s="157"/>
      <c r="G171" s="457"/>
    </row>
    <row r="172" spans="5:7">
      <c r="E172" s="157"/>
      <c r="F172" s="157"/>
      <c r="G172" s="457"/>
    </row>
    <row r="173" spans="5:7">
      <c r="E173" s="157"/>
      <c r="F173" s="157"/>
      <c r="G173" s="457"/>
    </row>
    <row r="174" spans="5:7">
      <c r="E174" s="157"/>
      <c r="F174" s="157"/>
      <c r="G174" s="457"/>
    </row>
    <row r="175" spans="5:7">
      <c r="E175" s="157"/>
      <c r="F175" s="157"/>
      <c r="G175" s="457"/>
    </row>
    <row r="176" spans="5:7">
      <c r="E176" s="157"/>
      <c r="F176" s="157"/>
      <c r="G176" s="457"/>
    </row>
    <row r="177" spans="5:7">
      <c r="E177" s="157"/>
      <c r="F177" s="157"/>
      <c r="G177" s="457"/>
    </row>
    <row r="178" spans="5:7">
      <c r="E178" s="157"/>
      <c r="F178" s="157"/>
      <c r="G178" s="457"/>
    </row>
    <row r="179" spans="5:7">
      <c r="E179" s="157"/>
      <c r="F179" s="157"/>
      <c r="G179" s="457"/>
    </row>
    <row r="180" spans="5:7">
      <c r="E180" s="157"/>
      <c r="F180" s="157"/>
      <c r="G180" s="457"/>
    </row>
    <row r="181" spans="5:7">
      <c r="E181" s="157"/>
      <c r="F181" s="157"/>
      <c r="G181" s="457"/>
    </row>
    <row r="182" spans="5:7">
      <c r="E182" s="157"/>
      <c r="F182" s="157"/>
      <c r="G182" s="457"/>
    </row>
    <row r="183" spans="5:7">
      <c r="E183" s="157"/>
      <c r="F183" s="157"/>
      <c r="G183" s="457"/>
    </row>
    <row r="184" spans="5:7">
      <c r="E184" s="157"/>
      <c r="F184" s="157"/>
      <c r="G184" s="457"/>
    </row>
    <row r="185" spans="5:7">
      <c r="E185" s="157"/>
      <c r="F185" s="157"/>
      <c r="G185" s="457"/>
    </row>
    <row r="186" spans="5:7">
      <c r="E186" s="157"/>
      <c r="F186" s="157"/>
      <c r="G186" s="457"/>
    </row>
    <row r="187" spans="5:7">
      <c r="E187" s="157"/>
      <c r="F187" s="157"/>
      <c r="G187" s="457"/>
    </row>
    <row r="188" spans="5:7">
      <c r="E188" s="157"/>
      <c r="F188" s="157"/>
      <c r="G188" s="457"/>
    </row>
    <row r="189" spans="5:7">
      <c r="E189" s="157"/>
      <c r="F189" s="157"/>
      <c r="G189" s="457"/>
    </row>
    <row r="190" spans="5:7">
      <c r="E190" s="157"/>
      <c r="F190" s="157"/>
      <c r="G190" s="457"/>
    </row>
    <row r="191" spans="5:7">
      <c r="E191" s="157"/>
      <c r="F191" s="157"/>
      <c r="G191" s="457"/>
    </row>
    <row r="192" spans="5:7">
      <c r="E192" s="157"/>
      <c r="F192" s="157"/>
      <c r="G192" s="457"/>
    </row>
    <row r="193" spans="5:7">
      <c r="E193" s="157"/>
      <c r="F193" s="157"/>
      <c r="G193" s="457"/>
    </row>
    <row r="194" spans="5:7">
      <c r="E194" s="157"/>
      <c r="F194" s="157"/>
      <c r="G194" s="457"/>
    </row>
    <row r="195" spans="5:7">
      <c r="E195" s="157"/>
      <c r="F195" s="157"/>
      <c r="G195" s="457"/>
    </row>
    <row r="196" spans="5:7">
      <c r="E196" s="157"/>
      <c r="F196" s="157"/>
      <c r="G196" s="457"/>
    </row>
    <row r="197" spans="5:7">
      <c r="E197" s="157"/>
      <c r="F197" s="157"/>
      <c r="G197" s="457"/>
    </row>
    <row r="198" spans="5:7">
      <c r="E198" s="157"/>
      <c r="F198" s="157"/>
      <c r="G198" s="457"/>
    </row>
    <row r="199" spans="5:7">
      <c r="E199" s="157"/>
      <c r="F199" s="157"/>
      <c r="G199" s="457"/>
    </row>
    <row r="200" spans="5:7">
      <c r="E200" s="157"/>
      <c r="F200" s="157"/>
      <c r="G200" s="457"/>
    </row>
    <row r="201" spans="5:7">
      <c r="E201" s="157"/>
      <c r="F201" s="157"/>
      <c r="G201" s="457"/>
    </row>
    <row r="202" spans="5:7">
      <c r="E202" s="157"/>
      <c r="F202" s="157"/>
      <c r="G202" s="457"/>
    </row>
    <row r="203" spans="5:7">
      <c r="E203" s="157"/>
      <c r="F203" s="157"/>
      <c r="G203" s="457"/>
    </row>
    <row r="204" spans="5:7">
      <c r="E204" s="157"/>
      <c r="F204" s="157"/>
      <c r="G204" s="457"/>
    </row>
    <row r="205" spans="5:7">
      <c r="E205" s="157"/>
      <c r="F205" s="157"/>
      <c r="G205" s="457"/>
    </row>
    <row r="206" spans="5:7">
      <c r="E206" s="157"/>
      <c r="F206" s="157"/>
      <c r="G206" s="457"/>
    </row>
    <row r="207" spans="5:7">
      <c r="E207" s="157"/>
      <c r="F207" s="157"/>
      <c r="G207" s="457"/>
    </row>
    <row r="208" spans="5:7">
      <c r="E208" s="157"/>
      <c r="F208" s="157"/>
      <c r="G208" s="457"/>
    </row>
    <row r="209" spans="5:7">
      <c r="E209" s="157"/>
      <c r="F209" s="157"/>
      <c r="G209" s="457"/>
    </row>
    <row r="210" spans="5:7">
      <c r="E210" s="157"/>
      <c r="F210" s="157"/>
      <c r="G210" s="457"/>
    </row>
    <row r="211" spans="5:7">
      <c r="E211" s="157"/>
      <c r="F211" s="157"/>
      <c r="G211" s="457"/>
    </row>
    <row r="212" spans="5:7">
      <c r="E212" s="157"/>
      <c r="F212" s="157"/>
      <c r="G212" s="457"/>
    </row>
    <row r="213" spans="5:7">
      <c r="E213" s="157"/>
      <c r="F213" s="157"/>
      <c r="G213" s="457"/>
    </row>
    <row r="214" spans="5:7">
      <c r="E214" s="157"/>
      <c r="F214" s="157"/>
      <c r="G214" s="457"/>
    </row>
    <row r="215" spans="5:7">
      <c r="E215" s="157"/>
      <c r="F215" s="157"/>
      <c r="G215" s="457"/>
    </row>
    <row r="216" spans="5:7">
      <c r="E216" s="157"/>
      <c r="F216" s="157"/>
      <c r="G216" s="457"/>
    </row>
    <row r="217" spans="5:7">
      <c r="E217" s="157"/>
      <c r="F217" s="157"/>
      <c r="G217" s="457"/>
    </row>
    <row r="218" spans="5:7">
      <c r="E218" s="157"/>
      <c r="F218" s="157"/>
      <c r="G218" s="457"/>
    </row>
    <row r="219" spans="5:7">
      <c r="E219" s="157"/>
      <c r="F219" s="157"/>
      <c r="G219" s="457"/>
    </row>
    <row r="220" spans="5:7">
      <c r="E220" s="157"/>
      <c r="F220" s="157"/>
      <c r="G220" s="457"/>
    </row>
    <row r="221" spans="5:7">
      <c r="E221" s="157"/>
      <c r="F221" s="157"/>
      <c r="G221" s="457"/>
    </row>
    <row r="222" spans="5:7">
      <c r="E222" s="157"/>
      <c r="F222" s="157"/>
      <c r="G222" s="457"/>
    </row>
    <row r="223" spans="5:7">
      <c r="E223" s="157"/>
      <c r="F223" s="157"/>
      <c r="G223" s="457"/>
    </row>
    <row r="224" spans="5:7">
      <c r="E224" s="157"/>
      <c r="F224" s="157"/>
      <c r="G224" s="457"/>
    </row>
    <row r="225" spans="5:7">
      <c r="E225" s="157"/>
      <c r="F225" s="157"/>
      <c r="G225" s="457"/>
    </row>
    <row r="226" spans="5:7">
      <c r="E226" s="157"/>
      <c r="F226" s="157"/>
      <c r="G226" s="457"/>
    </row>
    <row r="227" spans="5:7">
      <c r="E227" s="157"/>
      <c r="F227" s="157"/>
      <c r="G227" s="457"/>
    </row>
    <row r="228" spans="5:7">
      <c r="E228" s="157"/>
      <c r="F228" s="157"/>
      <c r="G228" s="457"/>
    </row>
    <row r="229" spans="5:7">
      <c r="E229" s="157"/>
      <c r="F229" s="157"/>
      <c r="G229" s="457"/>
    </row>
    <row r="230" spans="5:7">
      <c r="E230" s="157"/>
      <c r="F230" s="157"/>
      <c r="G230" s="457"/>
    </row>
    <row r="231" spans="5:7">
      <c r="E231" s="157"/>
      <c r="F231" s="157"/>
      <c r="G231" s="457"/>
    </row>
    <row r="232" spans="5:7">
      <c r="E232" s="157"/>
      <c r="F232" s="157"/>
      <c r="G232" s="457"/>
    </row>
    <row r="233" spans="5:7">
      <c r="E233" s="157"/>
      <c r="F233" s="157"/>
      <c r="G233" s="457"/>
    </row>
    <row r="234" spans="5:7">
      <c r="E234" s="157"/>
      <c r="F234" s="157"/>
      <c r="G234" s="457"/>
    </row>
    <row r="235" spans="5:7">
      <c r="E235" s="157"/>
      <c r="F235" s="157"/>
      <c r="G235" s="457"/>
    </row>
    <row r="236" spans="5:7">
      <c r="E236" s="157"/>
      <c r="F236" s="157"/>
      <c r="G236" s="457"/>
    </row>
    <row r="237" spans="5:7">
      <c r="E237" s="157"/>
      <c r="F237" s="157"/>
      <c r="G237" s="457"/>
    </row>
    <row r="238" spans="5:7">
      <c r="E238" s="157"/>
      <c r="F238" s="157"/>
      <c r="G238" s="457"/>
    </row>
    <row r="239" spans="5:7">
      <c r="E239" s="157"/>
      <c r="F239" s="157"/>
      <c r="G239" s="457"/>
    </row>
    <row r="240" spans="5:7">
      <c r="E240" s="157"/>
      <c r="F240" s="157"/>
      <c r="G240" s="457"/>
    </row>
    <row r="241" spans="5:7">
      <c r="E241" s="157"/>
      <c r="F241" s="157"/>
      <c r="G241" s="457"/>
    </row>
    <row r="242" spans="5:7">
      <c r="E242" s="157"/>
      <c r="F242" s="157"/>
      <c r="G242" s="457"/>
    </row>
    <row r="243" spans="5:7">
      <c r="E243" s="157"/>
      <c r="F243" s="157"/>
      <c r="G243" s="457"/>
    </row>
    <row r="244" spans="5:7">
      <c r="E244" s="157"/>
      <c r="F244" s="157"/>
      <c r="G244" s="457"/>
    </row>
    <row r="245" spans="5:7">
      <c r="E245" s="157"/>
      <c r="F245" s="157"/>
      <c r="G245" s="457"/>
    </row>
    <row r="246" spans="5:7">
      <c r="E246" s="157"/>
      <c r="F246" s="157"/>
      <c r="G246" s="457"/>
    </row>
    <row r="247" spans="5:7">
      <c r="E247" s="157"/>
      <c r="F247" s="157"/>
      <c r="G247" s="457"/>
    </row>
    <row r="248" spans="5:7">
      <c r="E248" s="157"/>
      <c r="F248" s="157"/>
      <c r="G248" s="457"/>
    </row>
    <row r="249" spans="5:7">
      <c r="E249" s="157"/>
      <c r="F249" s="157"/>
      <c r="G249" s="457"/>
    </row>
    <row r="250" spans="5:7">
      <c r="E250" s="157"/>
      <c r="F250" s="157"/>
      <c r="G250" s="457"/>
    </row>
    <row r="251" spans="5:7">
      <c r="E251" s="157"/>
      <c r="F251" s="157"/>
      <c r="G251" s="457"/>
    </row>
    <row r="252" spans="5:7">
      <c r="E252" s="157"/>
      <c r="F252" s="157"/>
      <c r="G252" s="457"/>
    </row>
    <row r="253" spans="5:7">
      <c r="E253" s="157"/>
      <c r="F253" s="157"/>
      <c r="G253" s="457"/>
    </row>
    <row r="254" spans="5:7">
      <c r="E254" s="157"/>
      <c r="F254" s="157"/>
      <c r="G254" s="457"/>
    </row>
    <row r="255" spans="5:7">
      <c r="E255" s="157"/>
      <c r="F255" s="157"/>
      <c r="G255" s="457"/>
    </row>
    <row r="256" spans="5:7">
      <c r="E256" s="157"/>
      <c r="F256" s="157"/>
      <c r="G256" s="457"/>
    </row>
    <row r="257" spans="5:7">
      <c r="E257" s="157"/>
      <c r="F257" s="157"/>
      <c r="G257" s="457"/>
    </row>
    <row r="258" spans="5:7">
      <c r="E258" s="157"/>
      <c r="F258" s="157"/>
      <c r="G258" s="457"/>
    </row>
    <row r="259" spans="5:7">
      <c r="E259" s="157"/>
      <c r="F259" s="157"/>
      <c r="G259" s="457"/>
    </row>
    <row r="260" spans="5:7">
      <c r="E260" s="157"/>
      <c r="F260" s="157"/>
      <c r="G260" s="457"/>
    </row>
    <row r="261" spans="5:7">
      <c r="E261" s="157"/>
      <c r="F261" s="157"/>
      <c r="G261" s="457"/>
    </row>
    <row r="262" spans="5:7">
      <c r="E262" s="157"/>
      <c r="F262" s="157"/>
      <c r="G262" s="457"/>
    </row>
    <row r="263" spans="5:7">
      <c r="E263" s="157"/>
      <c r="F263" s="157"/>
      <c r="G263" s="457"/>
    </row>
    <row r="264" spans="5:7">
      <c r="E264" s="157"/>
      <c r="F264" s="157"/>
      <c r="G264" s="457"/>
    </row>
    <row r="265" spans="5:7">
      <c r="E265" s="157"/>
      <c r="F265" s="157"/>
      <c r="G265" s="457"/>
    </row>
    <row r="266" spans="5:7">
      <c r="E266" s="157"/>
      <c r="F266" s="157"/>
      <c r="G266" s="457"/>
    </row>
    <row r="267" spans="5:7">
      <c r="E267" s="157"/>
      <c r="F267" s="157"/>
      <c r="G267" s="457"/>
    </row>
    <row r="268" spans="5:7">
      <c r="E268" s="157"/>
      <c r="F268" s="157"/>
      <c r="G268" s="457"/>
    </row>
    <row r="269" spans="5:7">
      <c r="E269" s="157"/>
      <c r="F269" s="157"/>
      <c r="G269" s="457"/>
    </row>
    <row r="270" spans="5:7">
      <c r="E270" s="157"/>
      <c r="F270" s="157"/>
      <c r="G270" s="457"/>
    </row>
    <row r="271" spans="5:7">
      <c r="E271" s="157"/>
      <c r="F271" s="157"/>
      <c r="G271" s="457"/>
    </row>
    <row r="272" spans="5:7">
      <c r="E272" s="157"/>
      <c r="F272" s="157"/>
      <c r="G272" s="457"/>
    </row>
    <row r="273" spans="5:7">
      <c r="E273" s="157"/>
      <c r="F273" s="157"/>
      <c r="G273" s="457"/>
    </row>
    <row r="274" spans="5:7">
      <c r="E274" s="157"/>
      <c r="F274" s="157"/>
      <c r="G274" s="457"/>
    </row>
    <row r="275" spans="5:7">
      <c r="E275" s="157"/>
      <c r="F275" s="157"/>
      <c r="G275" s="457"/>
    </row>
    <row r="276" spans="5:7">
      <c r="E276" s="157"/>
      <c r="F276" s="157"/>
      <c r="G276" s="457"/>
    </row>
    <row r="277" spans="5:7">
      <c r="E277" s="157"/>
      <c r="F277" s="157"/>
      <c r="G277" s="457"/>
    </row>
    <row r="278" spans="5:7">
      <c r="E278" s="157"/>
      <c r="F278" s="157"/>
      <c r="G278" s="457"/>
    </row>
    <row r="279" spans="5:7">
      <c r="E279" s="157"/>
      <c r="F279" s="157"/>
      <c r="G279" s="457"/>
    </row>
    <row r="280" spans="5:7">
      <c r="E280" s="157"/>
      <c r="F280" s="157"/>
      <c r="G280" s="457"/>
    </row>
    <row r="281" spans="5:7">
      <c r="E281" s="157"/>
      <c r="F281" s="157"/>
      <c r="G281" s="457"/>
    </row>
    <row r="282" spans="5:7">
      <c r="E282" s="157"/>
      <c r="F282" s="157"/>
      <c r="G282" s="457"/>
    </row>
    <row r="283" spans="5:7">
      <c r="E283" s="157"/>
      <c r="F283" s="157"/>
      <c r="G283" s="457"/>
    </row>
    <row r="284" spans="5:7">
      <c r="E284" s="157"/>
      <c r="F284" s="157"/>
      <c r="G284" s="457"/>
    </row>
    <row r="285" spans="5:7">
      <c r="E285" s="157"/>
      <c r="F285" s="157"/>
      <c r="G285" s="457"/>
    </row>
    <row r="286" spans="5:7">
      <c r="E286" s="157"/>
      <c r="F286" s="157"/>
      <c r="G286" s="457"/>
    </row>
    <row r="287" spans="5:7">
      <c r="E287" s="157"/>
      <c r="F287" s="157"/>
      <c r="G287" s="457"/>
    </row>
    <row r="288" spans="5:7">
      <c r="E288" s="157"/>
      <c r="F288" s="157"/>
      <c r="G288" s="457"/>
    </row>
    <row r="289" spans="5:7">
      <c r="E289" s="157"/>
      <c r="F289" s="157"/>
      <c r="G289" s="457"/>
    </row>
    <row r="290" spans="5:7">
      <c r="E290" s="157"/>
      <c r="F290" s="157"/>
      <c r="G290" s="457"/>
    </row>
    <row r="291" spans="5:7">
      <c r="E291" s="157"/>
      <c r="F291" s="157"/>
      <c r="G291" s="457"/>
    </row>
    <row r="292" spans="5:7">
      <c r="E292" s="157"/>
      <c r="F292" s="157"/>
      <c r="G292" s="457"/>
    </row>
    <row r="293" spans="5:7">
      <c r="E293" s="157"/>
      <c r="F293" s="157"/>
      <c r="G293" s="457"/>
    </row>
    <row r="294" spans="5:7">
      <c r="E294" s="157"/>
      <c r="F294" s="157"/>
      <c r="G294" s="457"/>
    </row>
    <row r="295" spans="5:7">
      <c r="E295" s="157"/>
      <c r="F295" s="157"/>
      <c r="G295" s="457"/>
    </row>
    <row r="296" spans="5:7">
      <c r="E296" s="157"/>
      <c r="F296" s="157"/>
      <c r="G296" s="457"/>
    </row>
    <row r="297" spans="5:7">
      <c r="E297" s="157"/>
      <c r="F297" s="157"/>
      <c r="G297" s="457"/>
    </row>
    <row r="298" spans="5:7">
      <c r="E298" s="157"/>
      <c r="F298" s="157"/>
      <c r="G298" s="457"/>
    </row>
    <row r="299" spans="5:7">
      <c r="E299" s="157"/>
      <c r="F299" s="157"/>
      <c r="G299" s="457"/>
    </row>
    <row r="300" spans="5:7">
      <c r="E300" s="157"/>
      <c r="F300" s="157"/>
      <c r="G300" s="457"/>
    </row>
    <row r="301" spans="5:7">
      <c r="E301" s="157"/>
      <c r="F301" s="157"/>
      <c r="G301" s="457"/>
    </row>
    <row r="302" spans="5:7">
      <c r="E302" s="157"/>
      <c r="F302" s="157"/>
      <c r="G302" s="457"/>
    </row>
    <row r="303" spans="5:7">
      <c r="E303" s="157"/>
      <c r="F303" s="157"/>
      <c r="G303" s="457"/>
    </row>
    <row r="304" spans="5:7">
      <c r="E304" s="157"/>
      <c r="F304" s="157"/>
      <c r="G304" s="457"/>
    </row>
    <row r="305" spans="5:7">
      <c r="E305" s="157"/>
      <c r="F305" s="157"/>
      <c r="G305" s="457"/>
    </row>
    <row r="306" spans="5:7">
      <c r="E306" s="157"/>
      <c r="F306" s="157"/>
      <c r="G306" s="457"/>
    </row>
    <row r="307" spans="5:7">
      <c r="E307" s="157"/>
      <c r="F307" s="157"/>
      <c r="G307" s="457"/>
    </row>
    <row r="308" spans="5:7">
      <c r="E308" s="157"/>
      <c r="F308" s="157"/>
      <c r="G308" s="457"/>
    </row>
    <row r="309" spans="5:7">
      <c r="E309" s="157"/>
      <c r="F309" s="157"/>
      <c r="G309" s="457"/>
    </row>
    <row r="310" spans="5:7">
      <c r="E310" s="157"/>
      <c r="F310" s="157"/>
      <c r="G310" s="457"/>
    </row>
    <row r="311" spans="5:7">
      <c r="E311" s="157"/>
      <c r="F311" s="157"/>
      <c r="G311" s="457"/>
    </row>
    <row r="312" spans="5:7">
      <c r="E312" s="157"/>
      <c r="F312" s="157"/>
      <c r="G312" s="457"/>
    </row>
    <row r="313" spans="5:7">
      <c r="E313" s="157"/>
      <c r="F313" s="157"/>
      <c r="G313" s="457"/>
    </row>
    <row r="314" spans="5:7">
      <c r="E314" s="157"/>
      <c r="F314" s="157"/>
      <c r="G314" s="457"/>
    </row>
    <row r="315" spans="5:7">
      <c r="E315" s="157"/>
      <c r="F315" s="157"/>
      <c r="G315" s="457"/>
    </row>
    <row r="316" spans="5:7">
      <c r="E316" s="157"/>
      <c r="F316" s="157"/>
      <c r="G316" s="457"/>
    </row>
    <row r="317" spans="5:7">
      <c r="E317" s="157"/>
      <c r="F317" s="157"/>
      <c r="G317" s="457"/>
    </row>
    <row r="318" spans="5:7">
      <c r="E318" s="157"/>
      <c r="F318" s="157"/>
      <c r="G318" s="457"/>
    </row>
    <row r="319" spans="5:7">
      <c r="E319" s="157"/>
      <c r="F319" s="157"/>
      <c r="G319" s="457"/>
    </row>
    <row r="320" spans="5:7">
      <c r="E320" s="157"/>
      <c r="F320" s="157"/>
      <c r="G320" s="457"/>
    </row>
    <row r="321" spans="5:7">
      <c r="E321" s="157"/>
      <c r="F321" s="157"/>
      <c r="G321" s="457"/>
    </row>
    <row r="322" spans="5:7">
      <c r="E322" s="157"/>
      <c r="F322" s="157"/>
      <c r="G322" s="457"/>
    </row>
    <row r="323" spans="5:7">
      <c r="E323" s="157"/>
      <c r="F323" s="157"/>
      <c r="G323" s="457"/>
    </row>
    <row r="324" spans="5:7">
      <c r="E324" s="157"/>
      <c r="F324" s="157"/>
      <c r="G324" s="457"/>
    </row>
    <row r="325" spans="5:7">
      <c r="E325" s="157"/>
      <c r="F325" s="157"/>
      <c r="G325" s="457"/>
    </row>
    <row r="326" spans="5:7">
      <c r="E326" s="157"/>
      <c r="F326" s="157"/>
      <c r="G326" s="457"/>
    </row>
    <row r="327" spans="5:7">
      <c r="E327" s="157"/>
      <c r="F327" s="157"/>
      <c r="G327" s="457"/>
    </row>
    <row r="328" spans="5:7">
      <c r="E328" s="157"/>
      <c r="F328" s="157"/>
      <c r="G328" s="457"/>
    </row>
    <row r="329" spans="5:7">
      <c r="E329" s="157"/>
      <c r="F329" s="157"/>
      <c r="G329" s="457"/>
    </row>
    <row r="330" spans="5:7">
      <c r="E330" s="157"/>
      <c r="F330" s="157"/>
      <c r="G330" s="457"/>
    </row>
    <row r="331" spans="5:7">
      <c r="E331" s="157"/>
      <c r="F331" s="157"/>
      <c r="G331" s="457"/>
    </row>
    <row r="332" spans="5:7">
      <c r="E332" s="157"/>
      <c r="F332" s="157"/>
      <c r="G332" s="457"/>
    </row>
    <row r="333" spans="5:7">
      <c r="E333" s="157"/>
      <c r="F333" s="157"/>
      <c r="G333" s="457"/>
    </row>
    <row r="334" spans="5:7">
      <c r="E334" s="157"/>
      <c r="F334" s="157"/>
      <c r="G334" s="457"/>
    </row>
    <row r="335" spans="5:7">
      <c r="E335" s="157"/>
      <c r="F335" s="157"/>
      <c r="G335" s="457"/>
    </row>
    <row r="336" spans="5:7">
      <c r="E336" s="157"/>
      <c r="F336" s="157"/>
      <c r="G336" s="457"/>
    </row>
    <row r="337" spans="5:7">
      <c r="E337" s="157"/>
      <c r="F337" s="157"/>
      <c r="G337" s="457"/>
    </row>
    <row r="338" spans="5:7">
      <c r="E338" s="157"/>
      <c r="F338" s="157"/>
      <c r="G338" s="457"/>
    </row>
    <row r="339" spans="5:7">
      <c r="E339" s="157"/>
      <c r="F339" s="157"/>
      <c r="G339" s="457"/>
    </row>
    <row r="340" spans="5:7">
      <c r="E340" s="157"/>
      <c r="F340" s="157"/>
      <c r="G340" s="457"/>
    </row>
    <row r="341" spans="5:7">
      <c r="E341" s="157"/>
      <c r="F341" s="157"/>
      <c r="G341" s="457"/>
    </row>
    <row r="342" spans="5:7">
      <c r="E342" s="157"/>
      <c r="F342" s="157"/>
      <c r="G342" s="457"/>
    </row>
    <row r="343" spans="5:7">
      <c r="E343" s="157"/>
      <c r="F343" s="157"/>
      <c r="G343" s="457"/>
    </row>
    <row r="344" spans="5:7">
      <c r="E344" s="157"/>
      <c r="F344" s="157"/>
      <c r="G344" s="457"/>
    </row>
    <row r="345" spans="5:7">
      <c r="E345" s="157"/>
      <c r="F345" s="157"/>
      <c r="G345" s="457"/>
    </row>
    <row r="346" spans="5:7">
      <c r="E346" s="157"/>
      <c r="F346" s="157"/>
      <c r="G346" s="457"/>
    </row>
    <row r="347" spans="5:7">
      <c r="E347" s="157"/>
      <c r="F347" s="157"/>
      <c r="G347" s="457"/>
    </row>
    <row r="348" spans="5:7">
      <c r="E348" s="157"/>
      <c r="F348" s="157"/>
      <c r="G348" s="457"/>
    </row>
    <row r="349" spans="5:7">
      <c r="E349" s="157"/>
      <c r="F349" s="157"/>
      <c r="G349" s="457"/>
    </row>
    <row r="350" spans="5:7">
      <c r="E350" s="157"/>
      <c r="F350" s="157"/>
      <c r="G350" s="457"/>
    </row>
    <row r="351" spans="5:7">
      <c r="E351" s="157"/>
      <c r="F351" s="157"/>
      <c r="G351" s="457"/>
    </row>
    <row r="352" spans="5:7">
      <c r="E352" s="157"/>
      <c r="F352" s="157"/>
      <c r="G352" s="457"/>
    </row>
    <row r="353" spans="5:7">
      <c r="E353" s="157"/>
      <c r="F353" s="157"/>
      <c r="G353" s="457"/>
    </row>
    <row r="354" spans="5:7">
      <c r="E354" s="157"/>
      <c r="F354" s="157"/>
      <c r="G354" s="457"/>
    </row>
    <row r="355" spans="5:7">
      <c r="E355" s="157"/>
      <c r="F355" s="157"/>
      <c r="G355" s="457"/>
    </row>
    <row r="356" spans="5:7">
      <c r="E356" s="157"/>
      <c r="F356" s="157"/>
      <c r="G356" s="457"/>
    </row>
    <row r="357" spans="5:7">
      <c r="E357" s="157"/>
      <c r="F357" s="157"/>
      <c r="G357" s="457"/>
    </row>
    <row r="358" spans="5:7">
      <c r="E358" s="157"/>
      <c r="F358" s="157"/>
      <c r="G358" s="457"/>
    </row>
    <row r="359" spans="5:7">
      <c r="E359" s="157"/>
      <c r="F359" s="157"/>
      <c r="G359" s="457"/>
    </row>
    <row r="360" spans="5:7">
      <c r="E360" s="157"/>
      <c r="F360" s="157"/>
      <c r="G360" s="457"/>
    </row>
    <row r="361" spans="5:7">
      <c r="E361" s="157"/>
      <c r="F361" s="157"/>
      <c r="G361" s="457"/>
    </row>
    <row r="362" spans="5:7">
      <c r="E362" s="157"/>
      <c r="F362" s="157"/>
      <c r="G362" s="457"/>
    </row>
    <row r="363" spans="5:7">
      <c r="E363" s="157"/>
      <c r="F363" s="157"/>
      <c r="G363" s="457"/>
    </row>
    <row r="364" spans="5:7">
      <c r="E364" s="157"/>
      <c r="F364" s="157"/>
      <c r="G364" s="457"/>
    </row>
    <row r="365" spans="5:7">
      <c r="E365" s="157"/>
      <c r="F365" s="157"/>
      <c r="G365" s="457"/>
    </row>
    <row r="366" spans="5:7">
      <c r="E366" s="157"/>
      <c r="F366" s="157"/>
      <c r="G366" s="457"/>
    </row>
    <row r="367" spans="5:7">
      <c r="E367" s="157"/>
      <c r="F367" s="157"/>
      <c r="G367" s="457"/>
    </row>
    <row r="368" spans="5:7">
      <c r="E368" s="157"/>
      <c r="F368" s="157"/>
      <c r="G368" s="457"/>
    </row>
    <row r="369" spans="5:7">
      <c r="E369" s="157"/>
      <c r="F369" s="157"/>
      <c r="G369" s="457"/>
    </row>
    <row r="370" spans="5:7">
      <c r="E370" s="157"/>
      <c r="F370" s="157"/>
      <c r="G370" s="457"/>
    </row>
    <row r="371" spans="5:7">
      <c r="E371" s="157"/>
      <c r="F371" s="157"/>
      <c r="G371" s="457"/>
    </row>
    <row r="372" spans="5:7">
      <c r="E372" s="157"/>
      <c r="F372" s="157"/>
      <c r="G372" s="457"/>
    </row>
    <row r="373" spans="5:7">
      <c r="E373" s="157"/>
      <c r="F373" s="157"/>
      <c r="G373" s="457"/>
    </row>
    <row r="374" spans="5:7">
      <c r="E374" s="157"/>
      <c r="F374" s="157"/>
      <c r="G374" s="457"/>
    </row>
    <row r="375" spans="5:7">
      <c r="E375" s="157"/>
      <c r="F375" s="157"/>
      <c r="G375" s="457"/>
    </row>
    <row r="376" spans="5:7">
      <c r="E376" s="157"/>
      <c r="F376" s="157"/>
      <c r="G376" s="457"/>
    </row>
    <row r="377" spans="5:7">
      <c r="E377" s="157"/>
      <c r="F377" s="157"/>
      <c r="G377" s="457"/>
    </row>
    <row r="378" spans="5:7">
      <c r="E378" s="157"/>
      <c r="F378" s="157"/>
      <c r="G378" s="457"/>
    </row>
    <row r="379" spans="5:7">
      <c r="E379" s="157"/>
      <c r="F379" s="157"/>
      <c r="G379" s="457"/>
    </row>
    <row r="380" spans="5:7">
      <c r="E380" s="157"/>
      <c r="F380" s="157"/>
      <c r="G380" s="457"/>
    </row>
    <row r="381" spans="5:7">
      <c r="E381" s="157"/>
      <c r="F381" s="157"/>
      <c r="G381" s="457"/>
    </row>
    <row r="382" spans="5:7">
      <c r="E382" s="157"/>
      <c r="F382" s="157"/>
      <c r="G382" s="457"/>
    </row>
    <row r="383" spans="5:7">
      <c r="E383" s="157"/>
      <c r="F383" s="157"/>
      <c r="G383" s="457"/>
    </row>
    <row r="384" spans="5:7">
      <c r="E384" s="157"/>
      <c r="F384" s="157"/>
      <c r="G384" s="457"/>
    </row>
    <row r="385" spans="5:7">
      <c r="E385" s="157"/>
      <c r="F385" s="157"/>
      <c r="G385" s="457"/>
    </row>
    <row r="386" spans="5:7">
      <c r="E386" s="157"/>
      <c r="F386" s="157"/>
      <c r="G386" s="457"/>
    </row>
    <row r="387" spans="5:7">
      <c r="E387" s="157"/>
      <c r="F387" s="157"/>
      <c r="G387" s="457"/>
    </row>
    <row r="388" spans="5:7">
      <c r="E388" s="157"/>
      <c r="F388" s="157"/>
      <c r="G388" s="457"/>
    </row>
    <row r="389" spans="5:7">
      <c r="E389" s="157"/>
      <c r="F389" s="157"/>
      <c r="G389" s="457"/>
    </row>
    <row r="390" spans="5:7">
      <c r="E390" s="157"/>
      <c r="F390" s="157"/>
      <c r="G390" s="457"/>
    </row>
    <row r="391" spans="5:7">
      <c r="E391" s="157"/>
      <c r="F391" s="157"/>
      <c r="G391" s="457"/>
    </row>
    <row r="392" spans="5:7">
      <c r="E392" s="157"/>
      <c r="F392" s="157"/>
      <c r="G392" s="457"/>
    </row>
    <row r="393" spans="5:7">
      <c r="E393" s="157"/>
      <c r="F393" s="157"/>
      <c r="G393" s="457"/>
    </row>
    <row r="394" spans="5:7">
      <c r="E394" s="157"/>
      <c r="F394" s="157"/>
      <c r="G394" s="457"/>
    </row>
    <row r="395" spans="5:7">
      <c r="E395" s="157"/>
      <c r="F395" s="157"/>
      <c r="G395" s="457"/>
    </row>
    <row r="396" spans="5:7">
      <c r="E396" s="157"/>
      <c r="F396" s="157"/>
      <c r="G396" s="457"/>
    </row>
    <row r="397" spans="5:7">
      <c r="E397" s="157"/>
      <c r="F397" s="157"/>
      <c r="G397" s="457"/>
    </row>
    <row r="398" spans="5:7">
      <c r="E398" s="157"/>
      <c r="F398" s="157"/>
      <c r="G398" s="457"/>
    </row>
    <row r="399" spans="5:7">
      <c r="E399" s="157"/>
      <c r="F399" s="157"/>
      <c r="G399" s="457"/>
    </row>
    <row r="400" spans="5:7">
      <c r="E400" s="157"/>
      <c r="F400" s="157"/>
      <c r="G400" s="457"/>
    </row>
    <row r="401" spans="5:7">
      <c r="E401" s="157"/>
      <c r="F401" s="157"/>
      <c r="G401" s="457"/>
    </row>
    <row r="402" spans="5:7">
      <c r="E402" s="157"/>
      <c r="F402" s="157"/>
      <c r="G402" s="457"/>
    </row>
    <row r="403" spans="5:7">
      <c r="E403" s="157"/>
      <c r="F403" s="157"/>
      <c r="G403" s="457"/>
    </row>
    <row r="404" spans="5:7">
      <c r="E404" s="157"/>
      <c r="F404" s="157"/>
      <c r="G404" s="457"/>
    </row>
    <row r="405" spans="5:7">
      <c r="E405" s="157"/>
      <c r="F405" s="157"/>
      <c r="G405" s="457"/>
    </row>
    <row r="406" spans="5:7">
      <c r="E406" s="157"/>
      <c r="F406" s="157"/>
      <c r="G406" s="457"/>
    </row>
    <row r="407" spans="5:7">
      <c r="E407" s="157"/>
      <c r="F407" s="157"/>
      <c r="G407" s="457"/>
    </row>
    <row r="408" spans="5:7">
      <c r="E408" s="157"/>
      <c r="F408" s="157"/>
      <c r="G408" s="457"/>
    </row>
    <row r="409" spans="5:7">
      <c r="E409" s="157"/>
      <c r="F409" s="157"/>
      <c r="G409" s="457"/>
    </row>
    <row r="410" spans="5:7">
      <c r="E410" s="157"/>
      <c r="F410" s="157"/>
      <c r="G410" s="457"/>
    </row>
    <row r="411" spans="5:7">
      <c r="E411" s="157"/>
      <c r="F411" s="157"/>
      <c r="G411" s="457"/>
    </row>
    <row r="412" spans="5:7">
      <c r="E412" s="157"/>
      <c r="F412" s="157"/>
      <c r="G412" s="457"/>
    </row>
    <row r="413" spans="5:7">
      <c r="E413" s="157"/>
      <c r="F413" s="157"/>
      <c r="G413" s="457"/>
    </row>
    <row r="414" spans="5:7">
      <c r="E414" s="157"/>
      <c r="F414" s="157"/>
      <c r="G414" s="457"/>
    </row>
    <row r="415" spans="5:7">
      <c r="E415" s="157"/>
      <c r="F415" s="157"/>
      <c r="G415" s="457"/>
    </row>
    <row r="416" spans="5:7">
      <c r="E416" s="157"/>
      <c r="F416" s="157"/>
      <c r="G416" s="457"/>
    </row>
    <row r="417" spans="5:7">
      <c r="E417" s="157"/>
      <c r="F417" s="157"/>
      <c r="G417" s="457"/>
    </row>
    <row r="418" spans="5:7">
      <c r="E418" s="157"/>
      <c r="F418" s="157"/>
      <c r="G418" s="457"/>
    </row>
    <row r="419" spans="5:7">
      <c r="E419" s="157"/>
      <c r="F419" s="157"/>
      <c r="G419" s="457"/>
    </row>
    <row r="420" spans="5:7">
      <c r="E420" s="157"/>
      <c r="F420" s="157"/>
      <c r="G420" s="457"/>
    </row>
    <row r="421" spans="5:7">
      <c r="E421" s="157"/>
      <c r="F421" s="157"/>
      <c r="G421" s="457"/>
    </row>
    <row r="422" spans="5:7">
      <c r="E422" s="157"/>
      <c r="F422" s="157"/>
      <c r="G422" s="457"/>
    </row>
    <row r="423" spans="5:7">
      <c r="E423" s="157"/>
      <c r="F423" s="157"/>
      <c r="G423" s="457"/>
    </row>
    <row r="424" spans="5:7">
      <c r="E424" s="157"/>
      <c r="F424" s="157"/>
      <c r="G424" s="457"/>
    </row>
    <row r="425" spans="5:7">
      <c r="E425" s="157"/>
      <c r="F425" s="157"/>
      <c r="G425" s="457"/>
    </row>
    <row r="426" spans="5:7">
      <c r="E426" s="157"/>
      <c r="F426" s="157"/>
      <c r="G426" s="457"/>
    </row>
    <row r="427" spans="5:7">
      <c r="E427" s="157"/>
      <c r="F427" s="157"/>
      <c r="G427" s="457"/>
    </row>
    <row r="428" spans="5:7">
      <c r="E428" s="157"/>
      <c r="F428" s="157"/>
      <c r="G428" s="457"/>
    </row>
    <row r="429" spans="5:7">
      <c r="E429" s="157"/>
      <c r="F429" s="157"/>
      <c r="G429" s="457"/>
    </row>
    <row r="430" spans="5:7">
      <c r="E430" s="157"/>
      <c r="F430" s="157"/>
      <c r="G430" s="457"/>
    </row>
    <row r="431" spans="5:7">
      <c r="E431" s="157"/>
      <c r="F431" s="157"/>
      <c r="G431" s="457"/>
    </row>
    <row r="432" spans="5:7">
      <c r="E432" s="157"/>
      <c r="F432" s="157"/>
      <c r="G432" s="457"/>
    </row>
    <row r="433" spans="5:7">
      <c r="E433" s="157"/>
      <c r="F433" s="157"/>
      <c r="G433" s="457"/>
    </row>
    <row r="434" spans="5:7">
      <c r="E434" s="157"/>
      <c r="F434" s="157"/>
      <c r="G434" s="457"/>
    </row>
    <row r="435" spans="5:7">
      <c r="E435" s="157"/>
      <c r="F435" s="157"/>
      <c r="G435" s="457"/>
    </row>
    <row r="436" spans="5:7">
      <c r="E436" s="157"/>
      <c r="F436" s="157"/>
      <c r="G436" s="457"/>
    </row>
    <row r="437" spans="5:7">
      <c r="E437" s="157"/>
      <c r="F437" s="157"/>
      <c r="G437" s="457"/>
    </row>
    <row r="438" spans="5:7">
      <c r="E438" s="157"/>
      <c r="F438" s="157"/>
      <c r="G438" s="457"/>
    </row>
    <row r="439" spans="5:7">
      <c r="E439" s="157"/>
      <c r="F439" s="157"/>
      <c r="G439" s="457"/>
    </row>
    <row r="440" spans="5:7">
      <c r="E440" s="157"/>
      <c r="F440" s="157"/>
      <c r="G440" s="457"/>
    </row>
    <row r="441" spans="5:7">
      <c r="E441" s="157"/>
      <c r="F441" s="157"/>
      <c r="G441" s="457"/>
    </row>
    <row r="442" spans="5:7">
      <c r="E442" s="157"/>
      <c r="F442" s="157"/>
      <c r="G442" s="457"/>
    </row>
    <row r="443" spans="5:7">
      <c r="E443" s="157"/>
      <c r="F443" s="157"/>
      <c r="G443" s="457"/>
    </row>
    <row r="444" spans="5:7">
      <c r="E444" s="157"/>
      <c r="F444" s="157"/>
      <c r="G444" s="457"/>
    </row>
    <row r="445" spans="5:7">
      <c r="E445" s="157"/>
      <c r="F445" s="157"/>
      <c r="G445" s="457"/>
    </row>
    <row r="446" spans="5:7">
      <c r="E446" s="157"/>
      <c r="F446" s="157"/>
      <c r="G446" s="457"/>
    </row>
    <row r="447" spans="5:7">
      <c r="E447" s="157"/>
      <c r="F447" s="157"/>
      <c r="G447" s="457"/>
    </row>
    <row r="448" spans="5:7">
      <c r="E448" s="157"/>
      <c r="F448" s="157"/>
      <c r="G448" s="457"/>
    </row>
    <row r="449" spans="5:7">
      <c r="E449" s="157"/>
      <c r="F449" s="157"/>
      <c r="G449" s="457"/>
    </row>
    <row r="450" spans="5:7">
      <c r="E450" s="157"/>
      <c r="F450" s="157"/>
      <c r="G450" s="457"/>
    </row>
    <row r="451" spans="5:7">
      <c r="E451" s="157"/>
      <c r="F451" s="157"/>
      <c r="G451" s="457"/>
    </row>
    <row r="452" spans="5:7">
      <c r="E452" s="157"/>
      <c r="F452" s="157"/>
      <c r="G452" s="457"/>
    </row>
    <row r="453" spans="5:7">
      <c r="E453" s="157"/>
      <c r="F453" s="157"/>
      <c r="G453" s="457"/>
    </row>
    <row r="454" spans="5:7">
      <c r="E454" s="157"/>
      <c r="F454" s="157"/>
      <c r="G454" s="457"/>
    </row>
    <row r="455" spans="5:7">
      <c r="E455" s="157"/>
      <c r="F455" s="157"/>
      <c r="G455" s="457"/>
    </row>
    <row r="456" spans="5:7">
      <c r="E456" s="157"/>
      <c r="F456" s="157"/>
      <c r="G456" s="457"/>
    </row>
    <row r="457" spans="5:7">
      <c r="E457" s="157"/>
      <c r="F457" s="157"/>
      <c r="G457" s="457"/>
    </row>
    <row r="458" spans="5:7">
      <c r="E458" s="157"/>
      <c r="F458" s="157"/>
      <c r="G458" s="457"/>
    </row>
    <row r="459" spans="5:7">
      <c r="E459" s="157"/>
      <c r="F459" s="157"/>
      <c r="G459" s="457"/>
    </row>
    <row r="460" spans="5:7">
      <c r="E460" s="157"/>
      <c r="F460" s="157"/>
      <c r="G460" s="457"/>
    </row>
    <row r="461" spans="5:7">
      <c r="E461" s="157"/>
      <c r="F461" s="157"/>
      <c r="G461" s="457"/>
    </row>
    <row r="462" spans="5:7">
      <c r="E462" s="157"/>
      <c r="F462" s="157"/>
      <c r="G462" s="457"/>
    </row>
    <row r="463" spans="5:7">
      <c r="E463" s="157"/>
      <c r="F463" s="157"/>
      <c r="G463" s="457"/>
    </row>
    <row r="464" spans="5:7">
      <c r="E464" s="157"/>
      <c r="F464" s="157"/>
      <c r="G464" s="457"/>
    </row>
    <row r="465" spans="5:7">
      <c r="E465" s="157"/>
      <c r="F465" s="157"/>
      <c r="G465" s="457"/>
    </row>
    <row r="466" spans="5:7">
      <c r="E466" s="157"/>
      <c r="F466" s="157"/>
      <c r="G466" s="457"/>
    </row>
    <row r="467" spans="5:7">
      <c r="E467" s="157"/>
      <c r="F467" s="157"/>
      <c r="G467" s="457"/>
    </row>
    <row r="468" spans="5:7">
      <c r="E468" s="157"/>
      <c r="F468" s="157"/>
      <c r="G468" s="457"/>
    </row>
    <row r="469" spans="5:7">
      <c r="E469" s="157"/>
      <c r="F469" s="157"/>
      <c r="G469" s="457"/>
    </row>
    <row r="470" spans="5:7">
      <c r="E470" s="157"/>
      <c r="F470" s="157"/>
      <c r="G470" s="457"/>
    </row>
    <row r="471" spans="5:7">
      <c r="E471" s="157"/>
      <c r="F471" s="157"/>
      <c r="G471" s="457"/>
    </row>
    <row r="472" spans="5:7">
      <c r="E472" s="157"/>
      <c r="F472" s="157"/>
      <c r="G472" s="457"/>
    </row>
    <row r="473" spans="5:7">
      <c r="E473" s="157"/>
      <c r="F473" s="157"/>
      <c r="G473" s="457"/>
    </row>
    <row r="474" spans="5:7">
      <c r="E474" s="157"/>
      <c r="F474" s="157"/>
      <c r="G474" s="457"/>
    </row>
    <row r="475" spans="5:7">
      <c r="E475" s="157"/>
      <c r="F475" s="157"/>
      <c r="G475" s="457"/>
    </row>
    <row r="476" spans="5:7">
      <c r="E476" s="157"/>
      <c r="F476" s="157"/>
      <c r="G476" s="457"/>
    </row>
    <row r="477" spans="5:7">
      <c r="E477" s="157"/>
      <c r="F477" s="157"/>
      <c r="G477" s="457"/>
    </row>
    <row r="478" spans="5:7">
      <c r="E478" s="157"/>
      <c r="F478" s="157"/>
      <c r="G478" s="457"/>
    </row>
    <row r="479" spans="5:7">
      <c r="E479" s="157"/>
      <c r="F479" s="157"/>
      <c r="G479" s="457"/>
    </row>
    <row r="480" spans="5:7">
      <c r="E480" s="157"/>
      <c r="F480" s="157"/>
      <c r="G480" s="457"/>
    </row>
    <row r="481" spans="5:7">
      <c r="E481" s="157"/>
      <c r="F481" s="157"/>
      <c r="G481" s="457"/>
    </row>
    <row r="482" spans="5:7">
      <c r="E482" s="157"/>
      <c r="F482" s="157"/>
      <c r="G482" s="457"/>
    </row>
    <row r="483" spans="5:7">
      <c r="E483" s="157"/>
      <c r="F483" s="157"/>
      <c r="G483" s="457"/>
    </row>
    <row r="484" spans="5:7">
      <c r="E484" s="157"/>
      <c r="F484" s="157"/>
      <c r="G484" s="457"/>
    </row>
    <row r="485" spans="5:7">
      <c r="E485" s="157"/>
      <c r="F485" s="157"/>
      <c r="G485" s="457"/>
    </row>
    <row r="486" spans="5:7">
      <c r="E486" s="157"/>
      <c r="F486" s="157"/>
      <c r="G486" s="457"/>
    </row>
    <row r="487" spans="5:7">
      <c r="E487" s="157"/>
      <c r="F487" s="157"/>
      <c r="G487" s="457"/>
    </row>
    <row r="488" spans="5:7">
      <c r="E488" s="157"/>
      <c r="F488" s="157"/>
      <c r="G488" s="457"/>
    </row>
    <row r="489" spans="5:7">
      <c r="E489" s="157"/>
      <c r="F489" s="157"/>
      <c r="G489" s="457"/>
    </row>
    <row r="490" spans="5:7">
      <c r="E490" s="157"/>
      <c r="F490" s="157"/>
      <c r="G490" s="457"/>
    </row>
    <row r="491" spans="5:7">
      <c r="E491" s="157"/>
      <c r="F491" s="157"/>
      <c r="G491" s="457"/>
    </row>
    <row r="492" spans="5:7">
      <c r="E492" s="157"/>
      <c r="F492" s="157"/>
      <c r="G492" s="457"/>
    </row>
    <row r="493" spans="5:7">
      <c r="E493" s="157"/>
      <c r="F493" s="157"/>
      <c r="G493" s="457"/>
    </row>
    <row r="494" spans="5:7">
      <c r="E494" s="157"/>
      <c r="F494" s="157"/>
      <c r="G494" s="457"/>
    </row>
    <row r="495" spans="5:7">
      <c r="E495" s="157"/>
      <c r="F495" s="157"/>
      <c r="G495" s="457"/>
    </row>
    <row r="496" spans="5:7">
      <c r="E496" s="157"/>
      <c r="F496" s="157"/>
      <c r="G496" s="457"/>
    </row>
    <row r="497" spans="5:7">
      <c r="E497" s="157"/>
      <c r="F497" s="157"/>
      <c r="G497" s="457"/>
    </row>
    <row r="498" spans="5:7">
      <c r="E498" s="157"/>
      <c r="F498" s="157"/>
      <c r="G498" s="457"/>
    </row>
    <row r="499" spans="5:7">
      <c r="E499" s="157"/>
      <c r="F499" s="157"/>
      <c r="G499" s="457"/>
    </row>
    <row r="500" spans="5:7">
      <c r="E500" s="157"/>
      <c r="F500" s="157"/>
      <c r="G500" s="457"/>
    </row>
    <row r="501" spans="5:7">
      <c r="E501" s="157"/>
      <c r="F501" s="157"/>
      <c r="G501" s="457"/>
    </row>
    <row r="502" spans="5:7">
      <c r="E502" s="157"/>
      <c r="F502" s="157"/>
      <c r="G502" s="457"/>
    </row>
    <row r="503" spans="5:7">
      <c r="E503" s="157"/>
      <c r="F503" s="157"/>
      <c r="G503" s="457"/>
    </row>
    <row r="504" spans="5:7">
      <c r="E504" s="157"/>
      <c r="F504" s="157"/>
      <c r="G504" s="457"/>
    </row>
    <row r="505" spans="5:7">
      <c r="E505" s="157"/>
      <c r="F505" s="157"/>
      <c r="G505" s="457"/>
    </row>
    <row r="506" spans="5:7">
      <c r="E506" s="157"/>
      <c r="F506" s="157"/>
      <c r="G506" s="457"/>
    </row>
    <row r="507" spans="5:7">
      <c r="E507" s="157"/>
      <c r="F507" s="157"/>
      <c r="G507" s="457"/>
    </row>
    <row r="508" spans="5:7">
      <c r="E508" s="157"/>
      <c r="F508" s="157"/>
      <c r="G508" s="457"/>
    </row>
    <row r="509" spans="5:7">
      <c r="E509" s="157"/>
      <c r="F509" s="157"/>
      <c r="G509" s="457"/>
    </row>
    <row r="510" spans="5:7">
      <c r="E510" s="157"/>
      <c r="F510" s="157"/>
      <c r="G510" s="457"/>
    </row>
    <row r="511" spans="5:7">
      <c r="E511" s="157"/>
      <c r="F511" s="157"/>
      <c r="G511" s="457"/>
    </row>
    <row r="512" spans="5:7">
      <c r="E512" s="157"/>
      <c r="F512" s="157"/>
      <c r="G512" s="457"/>
    </row>
    <row r="513" spans="5:7">
      <c r="E513" s="157"/>
      <c r="F513" s="157"/>
      <c r="G513" s="457"/>
    </row>
    <row r="514" spans="5:7">
      <c r="E514" s="157"/>
      <c r="F514" s="157"/>
      <c r="G514" s="457"/>
    </row>
    <row r="515" spans="5:7">
      <c r="E515" s="157"/>
      <c r="F515" s="157"/>
      <c r="G515" s="457"/>
    </row>
    <row r="516" spans="5:7">
      <c r="E516" s="157"/>
      <c r="F516" s="157"/>
      <c r="G516" s="457"/>
    </row>
    <row r="517" spans="5:7">
      <c r="E517" s="157"/>
      <c r="F517" s="157"/>
      <c r="G517" s="457"/>
    </row>
    <row r="518" spans="5:7">
      <c r="E518" s="157"/>
      <c r="F518" s="157"/>
      <c r="G518" s="457"/>
    </row>
    <row r="519" spans="5:7">
      <c r="E519" s="157"/>
      <c r="F519" s="157"/>
      <c r="G519" s="457"/>
    </row>
    <row r="520" spans="5:7">
      <c r="E520" s="157"/>
      <c r="F520" s="157"/>
      <c r="G520" s="457"/>
    </row>
    <row r="521" spans="5:7">
      <c r="E521" s="157"/>
      <c r="F521" s="157"/>
      <c r="G521" s="457"/>
    </row>
    <row r="522" spans="5:7">
      <c r="E522" s="157"/>
      <c r="F522" s="157"/>
      <c r="G522" s="457"/>
    </row>
    <row r="523" spans="5:7">
      <c r="E523" s="157"/>
      <c r="F523" s="157"/>
      <c r="G523" s="457"/>
    </row>
    <row r="524" spans="5:7">
      <c r="E524" s="157"/>
      <c r="F524" s="157"/>
      <c r="G524" s="457"/>
    </row>
    <row r="525" spans="5:7">
      <c r="E525" s="157"/>
      <c r="F525" s="157"/>
      <c r="G525" s="457"/>
    </row>
    <row r="526" spans="5:7">
      <c r="E526" s="157"/>
      <c r="F526" s="157"/>
      <c r="G526" s="457"/>
    </row>
    <row r="527" spans="5:7">
      <c r="E527" s="157"/>
      <c r="F527" s="157"/>
      <c r="G527" s="457"/>
    </row>
    <row r="528" spans="5:7">
      <c r="E528" s="157"/>
      <c r="F528" s="157"/>
      <c r="G528" s="457"/>
    </row>
    <row r="529" spans="5:7">
      <c r="E529" s="157"/>
      <c r="F529" s="157"/>
      <c r="G529" s="457"/>
    </row>
    <row r="530" spans="5:7">
      <c r="E530" s="157"/>
      <c r="F530" s="157"/>
      <c r="G530" s="457"/>
    </row>
    <row r="531" spans="5:7">
      <c r="E531" s="157"/>
      <c r="F531" s="157"/>
      <c r="G531" s="457"/>
    </row>
    <row r="532" spans="5:7">
      <c r="E532" s="157"/>
      <c r="F532" s="157"/>
      <c r="G532" s="457"/>
    </row>
    <row r="533" spans="5:7">
      <c r="E533" s="157"/>
      <c r="F533" s="157"/>
      <c r="G533" s="457"/>
    </row>
    <row r="534" spans="5:7">
      <c r="E534" s="157"/>
      <c r="F534" s="157"/>
      <c r="G534" s="457"/>
    </row>
    <row r="535" spans="5:7">
      <c r="E535" s="157"/>
      <c r="F535" s="157"/>
      <c r="G535" s="457"/>
    </row>
    <row r="536" spans="5:7">
      <c r="E536" s="157"/>
      <c r="F536" s="157"/>
      <c r="G536" s="457"/>
    </row>
    <row r="537" spans="5:7">
      <c r="E537" s="157"/>
      <c r="F537" s="157"/>
      <c r="G537" s="457"/>
    </row>
    <row r="538" spans="5:7">
      <c r="E538" s="157"/>
      <c r="F538" s="157"/>
      <c r="G538" s="457"/>
    </row>
    <row r="539" spans="5:7">
      <c r="E539" s="157"/>
      <c r="F539" s="157"/>
      <c r="G539" s="457"/>
    </row>
    <row r="540" spans="5:7">
      <c r="E540" s="157"/>
      <c r="F540" s="157"/>
      <c r="G540" s="457"/>
    </row>
    <row r="541" spans="5:7">
      <c r="E541" s="157"/>
      <c r="F541" s="157"/>
      <c r="G541" s="457"/>
    </row>
    <row r="542" spans="5:7">
      <c r="E542" s="157"/>
      <c r="F542" s="157"/>
      <c r="G542" s="457"/>
    </row>
    <row r="543" spans="5:7">
      <c r="E543" s="157"/>
      <c r="F543" s="157"/>
      <c r="G543" s="457"/>
    </row>
    <row r="544" spans="5:7">
      <c r="E544" s="157"/>
      <c r="F544" s="157"/>
      <c r="G544" s="457"/>
    </row>
    <row r="545" spans="5:7">
      <c r="E545" s="157"/>
      <c r="F545" s="157"/>
      <c r="G545" s="457"/>
    </row>
    <row r="546" spans="5:7">
      <c r="E546" s="157"/>
      <c r="F546" s="157"/>
      <c r="G546" s="457"/>
    </row>
    <row r="547" spans="5:7">
      <c r="E547" s="157"/>
      <c r="F547" s="157"/>
      <c r="G547" s="457"/>
    </row>
    <row r="548" spans="5:7">
      <c r="E548" s="157"/>
      <c r="F548" s="157"/>
      <c r="G548" s="457"/>
    </row>
    <row r="549" spans="5:7">
      <c r="E549" s="157"/>
      <c r="F549" s="157"/>
      <c r="G549" s="457"/>
    </row>
    <row r="550" spans="5:7">
      <c r="E550" s="157"/>
      <c r="F550" s="157"/>
      <c r="G550" s="457"/>
    </row>
    <row r="551" spans="5:7">
      <c r="E551" s="157"/>
      <c r="F551" s="157"/>
      <c r="G551" s="457"/>
    </row>
    <row r="552" spans="5:7">
      <c r="E552" s="157"/>
      <c r="F552" s="157"/>
      <c r="G552" s="457"/>
    </row>
    <row r="553" spans="5:7">
      <c r="E553" s="157"/>
      <c r="F553" s="157"/>
      <c r="G553" s="457"/>
    </row>
    <row r="554" spans="5:7">
      <c r="E554" s="157"/>
      <c r="F554" s="157"/>
      <c r="G554" s="457"/>
    </row>
    <row r="555" spans="5:7">
      <c r="E555" s="157"/>
      <c r="F555" s="157"/>
      <c r="G555" s="457"/>
    </row>
    <row r="556" spans="5:7">
      <c r="E556" s="157"/>
      <c r="F556" s="157"/>
      <c r="G556" s="457"/>
    </row>
    <row r="557" spans="5:7">
      <c r="E557" s="157"/>
      <c r="F557" s="157"/>
      <c r="G557" s="457"/>
    </row>
    <row r="558" spans="5:7">
      <c r="E558" s="157"/>
      <c r="F558" s="157"/>
      <c r="G558" s="457"/>
    </row>
    <row r="559" spans="5:7">
      <c r="E559" s="157"/>
      <c r="F559" s="157"/>
      <c r="G559" s="457"/>
    </row>
    <row r="560" spans="5:7">
      <c r="E560" s="157"/>
      <c r="F560" s="157"/>
      <c r="G560" s="457"/>
    </row>
    <row r="561" spans="5:7">
      <c r="E561" s="157"/>
      <c r="F561" s="157"/>
      <c r="G561" s="457"/>
    </row>
    <row r="562" spans="5:7">
      <c r="E562" s="157"/>
      <c r="F562" s="157"/>
      <c r="G562" s="457"/>
    </row>
    <row r="563" spans="5:7">
      <c r="E563" s="157"/>
      <c r="F563" s="157"/>
      <c r="G563" s="457"/>
    </row>
    <row r="564" spans="5:7">
      <c r="E564" s="157"/>
      <c r="F564" s="157"/>
      <c r="G564" s="457"/>
    </row>
    <row r="565" spans="5:7">
      <c r="E565" s="157"/>
      <c r="F565" s="157"/>
      <c r="G565" s="457"/>
    </row>
    <row r="566" spans="5:7">
      <c r="E566" s="157"/>
      <c r="F566" s="157"/>
      <c r="G566" s="457"/>
    </row>
    <row r="567" spans="5:7">
      <c r="E567" s="157"/>
      <c r="F567" s="157"/>
      <c r="G567" s="457"/>
    </row>
    <row r="568" spans="5:7">
      <c r="E568" s="157"/>
      <c r="F568" s="157"/>
      <c r="G568" s="457"/>
    </row>
    <row r="569" spans="5:7">
      <c r="E569" s="157"/>
      <c r="F569" s="157"/>
      <c r="G569" s="457"/>
    </row>
    <row r="570" spans="5:7">
      <c r="E570" s="157"/>
      <c r="F570" s="157"/>
      <c r="G570" s="457"/>
    </row>
    <row r="571" spans="5:7">
      <c r="E571" s="157"/>
      <c r="F571" s="157"/>
      <c r="G571" s="457"/>
    </row>
    <row r="572" spans="5:7">
      <c r="E572" s="157"/>
      <c r="F572" s="157"/>
      <c r="G572" s="457"/>
    </row>
    <row r="573" spans="5:7">
      <c r="E573" s="157"/>
      <c r="F573" s="157"/>
      <c r="G573" s="457"/>
    </row>
    <row r="574" spans="5:7">
      <c r="E574" s="157"/>
      <c r="F574" s="157"/>
      <c r="G574" s="457"/>
    </row>
    <row r="575" spans="5:7">
      <c r="E575" s="157"/>
      <c r="F575" s="157"/>
      <c r="G575" s="457"/>
    </row>
    <row r="576" spans="5:7">
      <c r="E576" s="157"/>
      <c r="F576" s="157"/>
      <c r="G576" s="457"/>
    </row>
    <row r="577" spans="5:7">
      <c r="E577" s="157"/>
      <c r="F577" s="157"/>
      <c r="G577" s="457"/>
    </row>
    <row r="578" spans="5:7">
      <c r="E578" s="157"/>
      <c r="F578" s="157"/>
      <c r="G578" s="457"/>
    </row>
    <row r="579" spans="5:7">
      <c r="E579" s="157"/>
      <c r="F579" s="157"/>
      <c r="G579" s="457"/>
    </row>
    <row r="580" spans="5:7">
      <c r="E580" s="157"/>
      <c r="F580" s="157"/>
      <c r="G580" s="457"/>
    </row>
    <row r="581" spans="5:7">
      <c r="E581" s="157"/>
      <c r="F581" s="157"/>
      <c r="G581" s="457"/>
    </row>
    <row r="582" spans="5:7">
      <c r="E582" s="157"/>
      <c r="F582" s="157"/>
      <c r="G582" s="457"/>
    </row>
    <row r="583" spans="5:7">
      <c r="E583" s="157"/>
      <c r="F583" s="157"/>
      <c r="G583" s="457"/>
    </row>
    <row r="584" spans="5:7">
      <c r="E584" s="157"/>
      <c r="F584" s="157"/>
      <c r="G584" s="457"/>
    </row>
    <row r="585" spans="5:7">
      <c r="E585" s="157"/>
      <c r="F585" s="157"/>
      <c r="G585" s="457"/>
    </row>
    <row r="586" spans="5:7">
      <c r="E586" s="157"/>
      <c r="F586" s="157"/>
      <c r="G586" s="457"/>
    </row>
    <row r="587" spans="5:7">
      <c r="E587" s="157"/>
      <c r="F587" s="157"/>
      <c r="G587" s="457"/>
    </row>
    <row r="588" spans="5:7">
      <c r="E588" s="157"/>
      <c r="F588" s="157"/>
      <c r="G588" s="457"/>
    </row>
    <row r="589" spans="5:7">
      <c r="E589" s="157"/>
      <c r="F589" s="157"/>
      <c r="G589" s="457"/>
    </row>
    <row r="590" spans="5:7">
      <c r="E590" s="157"/>
      <c r="F590" s="157"/>
      <c r="G590" s="457"/>
    </row>
    <row r="591" spans="5:7">
      <c r="E591" s="157"/>
      <c r="F591" s="157"/>
      <c r="G591" s="457"/>
    </row>
    <row r="592" spans="5:7">
      <c r="E592" s="157"/>
      <c r="F592" s="157"/>
      <c r="G592" s="457"/>
    </row>
    <row r="593" spans="5:7">
      <c r="E593" s="157"/>
      <c r="F593" s="157"/>
      <c r="G593" s="457"/>
    </row>
    <row r="594" spans="5:7">
      <c r="E594" s="157"/>
      <c r="F594" s="157"/>
      <c r="G594" s="457"/>
    </row>
    <row r="595" spans="5:7">
      <c r="E595" s="157"/>
      <c r="F595" s="157"/>
      <c r="G595" s="457"/>
    </row>
    <row r="596" spans="5:7">
      <c r="E596" s="157"/>
      <c r="F596" s="157"/>
      <c r="G596" s="457"/>
    </row>
    <row r="597" spans="5:7">
      <c r="E597" s="157"/>
      <c r="F597" s="157"/>
      <c r="G597" s="457"/>
    </row>
    <row r="598" spans="5:7">
      <c r="E598" s="157"/>
      <c r="F598" s="157"/>
      <c r="G598" s="457"/>
    </row>
    <row r="599" spans="5:7">
      <c r="E599" s="157"/>
      <c r="F599" s="157"/>
      <c r="G599" s="457"/>
    </row>
    <row r="600" spans="5:7">
      <c r="E600" s="157"/>
      <c r="F600" s="157"/>
      <c r="G600" s="457"/>
    </row>
    <row r="601" spans="5:7">
      <c r="E601" s="157"/>
      <c r="F601" s="157"/>
      <c r="G601" s="457"/>
    </row>
    <row r="602" spans="5:7">
      <c r="E602" s="157"/>
      <c r="F602" s="157"/>
      <c r="G602" s="457"/>
    </row>
    <row r="603" spans="5:7">
      <c r="E603" s="157"/>
      <c r="F603" s="157"/>
      <c r="G603" s="457"/>
    </row>
    <row r="604" spans="5:7">
      <c r="E604" s="157"/>
      <c r="F604" s="157"/>
      <c r="G604" s="457"/>
    </row>
    <row r="605" spans="5:7">
      <c r="E605" s="157"/>
      <c r="F605" s="157"/>
      <c r="G605" s="457"/>
    </row>
    <row r="606" spans="5:7">
      <c r="E606" s="157"/>
      <c r="F606" s="157"/>
      <c r="G606" s="457"/>
    </row>
    <row r="607" spans="5:7">
      <c r="E607" s="157"/>
      <c r="F607" s="157"/>
      <c r="G607" s="457"/>
    </row>
    <row r="608" spans="5:7">
      <c r="E608" s="157"/>
      <c r="F608" s="157"/>
      <c r="G608" s="457"/>
    </row>
    <row r="609" spans="5:7">
      <c r="E609" s="157"/>
      <c r="F609" s="157"/>
      <c r="G609" s="457"/>
    </row>
    <row r="610" spans="5:7">
      <c r="E610" s="157"/>
      <c r="F610" s="157"/>
      <c r="G610" s="457"/>
    </row>
    <row r="611" spans="5:7">
      <c r="E611" s="157"/>
      <c r="F611" s="157"/>
      <c r="G611" s="457"/>
    </row>
    <row r="612" spans="5:7">
      <c r="E612" s="157"/>
      <c r="F612" s="157"/>
      <c r="G612" s="457"/>
    </row>
    <row r="613" spans="5:7">
      <c r="E613" s="157"/>
      <c r="F613" s="157"/>
      <c r="G613" s="457"/>
    </row>
    <row r="614" spans="5:7">
      <c r="E614" s="157"/>
      <c r="F614" s="157"/>
      <c r="G614" s="457"/>
    </row>
    <row r="615" spans="5:7">
      <c r="E615" s="157"/>
      <c r="F615" s="157"/>
      <c r="G615" s="457"/>
    </row>
    <row r="616" spans="5:7">
      <c r="E616" s="157"/>
      <c r="F616" s="157"/>
      <c r="G616" s="457"/>
    </row>
    <row r="617" spans="5:7">
      <c r="E617" s="157"/>
      <c r="F617" s="157"/>
      <c r="G617" s="457"/>
    </row>
    <row r="618" spans="5:7">
      <c r="E618" s="157"/>
      <c r="F618" s="157"/>
      <c r="G618" s="457"/>
    </row>
    <row r="619" spans="5:7">
      <c r="E619" s="157"/>
      <c r="F619" s="157"/>
      <c r="G619" s="457"/>
    </row>
    <row r="620" spans="5:7">
      <c r="E620" s="157"/>
      <c r="F620" s="157"/>
      <c r="G620" s="457"/>
    </row>
    <row r="621" spans="5:7">
      <c r="E621" s="157"/>
      <c r="F621" s="157"/>
      <c r="G621" s="457"/>
    </row>
    <row r="622" spans="5:7">
      <c r="E622" s="157"/>
      <c r="F622" s="157"/>
      <c r="G622" s="457"/>
    </row>
    <row r="623" spans="5:7">
      <c r="E623" s="157"/>
      <c r="F623" s="157"/>
      <c r="G623" s="457"/>
    </row>
    <row r="624" spans="5:7">
      <c r="E624" s="157"/>
      <c r="F624" s="157"/>
      <c r="G624" s="457"/>
    </row>
    <row r="625" spans="5:7">
      <c r="E625" s="157"/>
      <c r="F625" s="157"/>
      <c r="G625" s="457"/>
    </row>
    <row r="626" spans="5:7">
      <c r="E626" s="157"/>
      <c r="F626" s="157"/>
      <c r="G626" s="457"/>
    </row>
    <row r="627" spans="5:7">
      <c r="E627" s="157"/>
      <c r="F627" s="157"/>
      <c r="G627" s="457"/>
    </row>
    <row r="628" spans="5:7">
      <c r="E628" s="157"/>
      <c r="F628" s="157"/>
      <c r="G628" s="457"/>
    </row>
    <row r="629" spans="5:7">
      <c r="E629" s="157"/>
      <c r="F629" s="157"/>
      <c r="G629" s="457"/>
    </row>
    <row r="630" spans="5:7">
      <c r="E630" s="157"/>
      <c r="F630" s="157"/>
      <c r="G630" s="457"/>
    </row>
    <row r="631" spans="5:7">
      <c r="E631" s="157"/>
      <c r="F631" s="157"/>
      <c r="G631" s="457"/>
    </row>
    <row r="632" spans="5:7">
      <c r="E632" s="157"/>
      <c r="F632" s="157"/>
      <c r="G632" s="457"/>
    </row>
    <row r="633" spans="5:7">
      <c r="E633" s="157"/>
      <c r="F633" s="157"/>
      <c r="G633" s="457"/>
    </row>
    <row r="634" spans="5:7">
      <c r="E634" s="157"/>
      <c r="F634" s="157"/>
      <c r="G634" s="457"/>
    </row>
    <row r="635" spans="5:7">
      <c r="E635" s="157"/>
      <c r="F635" s="157"/>
      <c r="G635" s="457"/>
    </row>
    <row r="636" spans="5:7">
      <c r="E636" s="157"/>
      <c r="F636" s="157"/>
      <c r="G636" s="457"/>
    </row>
    <row r="637" spans="5:7">
      <c r="E637" s="157"/>
      <c r="F637" s="157"/>
      <c r="G637" s="457"/>
    </row>
    <row r="638" spans="5:7">
      <c r="E638" s="157"/>
      <c r="F638" s="157"/>
      <c r="G638" s="457"/>
    </row>
    <row r="639" spans="5:7">
      <c r="E639" s="157"/>
      <c r="F639" s="157"/>
      <c r="G639" s="457"/>
    </row>
    <row r="640" spans="5:7">
      <c r="E640" s="157"/>
      <c r="F640" s="157"/>
      <c r="G640" s="457"/>
    </row>
    <row r="641" spans="5:7">
      <c r="E641" s="157"/>
      <c r="F641" s="157"/>
      <c r="G641" s="457"/>
    </row>
    <row r="642" spans="5:7">
      <c r="E642" s="157"/>
      <c r="F642" s="157"/>
      <c r="G642" s="457"/>
    </row>
    <row r="643" spans="5:7">
      <c r="E643" s="157"/>
      <c r="F643" s="157"/>
      <c r="G643" s="457"/>
    </row>
    <row r="644" spans="5:7">
      <c r="E644" s="157"/>
      <c r="F644" s="157"/>
      <c r="G644" s="457"/>
    </row>
    <row r="645" spans="5:7">
      <c r="E645" s="157"/>
      <c r="F645" s="157"/>
      <c r="G645" s="457"/>
    </row>
    <row r="646" spans="5:7">
      <c r="E646" s="157"/>
      <c r="F646" s="157"/>
      <c r="G646" s="457"/>
    </row>
    <row r="647" spans="5:7">
      <c r="E647" s="157"/>
      <c r="F647" s="157"/>
      <c r="G647" s="457"/>
    </row>
    <row r="648" spans="5:7">
      <c r="E648" s="157"/>
      <c r="F648" s="157"/>
      <c r="G648" s="457"/>
    </row>
    <row r="649" spans="5:7">
      <c r="E649" s="157"/>
      <c r="F649" s="157"/>
      <c r="G649" s="457"/>
    </row>
    <row r="650" spans="5:7">
      <c r="E650" s="157"/>
      <c r="F650" s="157"/>
      <c r="G650" s="457"/>
    </row>
    <row r="651" spans="5:7">
      <c r="E651" s="157"/>
      <c r="F651" s="157"/>
      <c r="G651" s="457"/>
    </row>
    <row r="652" spans="5:7">
      <c r="E652" s="157"/>
      <c r="F652" s="157"/>
      <c r="G652" s="457"/>
    </row>
    <row r="653" spans="5:7">
      <c r="E653" s="157"/>
      <c r="F653" s="157"/>
      <c r="G653" s="457"/>
    </row>
    <row r="654" spans="5:7">
      <c r="E654" s="157"/>
      <c r="F654" s="157"/>
      <c r="G654" s="457"/>
    </row>
    <row r="655" spans="5:7">
      <c r="E655" s="157"/>
      <c r="F655" s="157"/>
      <c r="G655" s="457"/>
    </row>
    <row r="656" spans="5:7">
      <c r="E656" s="157"/>
      <c r="F656" s="157"/>
      <c r="G656" s="457"/>
    </row>
    <row r="657" spans="5:7">
      <c r="E657" s="157"/>
      <c r="F657" s="157"/>
      <c r="G657" s="457"/>
    </row>
    <row r="658" spans="5:7">
      <c r="E658" s="157"/>
      <c r="F658" s="157"/>
      <c r="G658" s="457"/>
    </row>
    <row r="659" spans="5:7">
      <c r="E659" s="157"/>
      <c r="F659" s="157"/>
      <c r="G659" s="457"/>
    </row>
    <row r="660" spans="5:7">
      <c r="E660" s="157"/>
      <c r="F660" s="157"/>
      <c r="G660" s="457"/>
    </row>
    <row r="661" spans="5:7">
      <c r="E661" s="157"/>
      <c r="F661" s="157"/>
      <c r="G661" s="457"/>
    </row>
    <row r="662" spans="5:7">
      <c r="E662" s="157"/>
      <c r="F662" s="157"/>
      <c r="G662" s="457"/>
    </row>
    <row r="663" spans="5:7">
      <c r="E663" s="157"/>
      <c r="F663" s="157"/>
      <c r="G663" s="457"/>
    </row>
    <row r="664" spans="5:7">
      <c r="E664" s="157"/>
      <c r="F664" s="157"/>
      <c r="G664" s="457"/>
    </row>
    <row r="665" spans="5:7">
      <c r="E665" s="157"/>
      <c r="F665" s="157"/>
      <c r="G665" s="457"/>
    </row>
    <row r="666" spans="5:7">
      <c r="E666" s="157"/>
      <c r="F666" s="157"/>
      <c r="G666" s="457"/>
    </row>
    <row r="667" spans="5:7">
      <c r="E667" s="157"/>
      <c r="F667" s="157"/>
      <c r="G667" s="457"/>
    </row>
    <row r="668" spans="5:7">
      <c r="E668" s="157"/>
      <c r="F668" s="157"/>
      <c r="G668" s="457"/>
    </row>
    <row r="669" spans="5:7">
      <c r="E669" s="157"/>
      <c r="F669" s="157"/>
      <c r="G669" s="457"/>
    </row>
    <row r="670" spans="5:7">
      <c r="E670" s="157"/>
      <c r="F670" s="157"/>
      <c r="G670" s="457"/>
    </row>
    <row r="671" spans="5:7">
      <c r="E671" s="157"/>
      <c r="F671" s="157"/>
      <c r="G671" s="457"/>
    </row>
    <row r="672" spans="5:7">
      <c r="E672" s="157"/>
      <c r="F672" s="157"/>
      <c r="G672" s="457"/>
    </row>
    <row r="673" spans="5:7">
      <c r="E673" s="157"/>
      <c r="F673" s="157"/>
      <c r="G673" s="457"/>
    </row>
    <row r="674" spans="5:7">
      <c r="E674" s="157"/>
      <c r="F674" s="157"/>
      <c r="G674" s="457"/>
    </row>
    <row r="675" spans="5:7">
      <c r="E675" s="157"/>
      <c r="F675" s="157"/>
      <c r="G675" s="457"/>
    </row>
    <row r="676" spans="5:7">
      <c r="E676" s="157"/>
      <c r="F676" s="157"/>
      <c r="G676" s="457"/>
    </row>
    <row r="677" spans="5:7">
      <c r="E677" s="157"/>
      <c r="F677" s="157"/>
      <c r="G677" s="457"/>
    </row>
    <row r="678" spans="5:7">
      <c r="E678" s="157"/>
      <c r="F678" s="157"/>
      <c r="G678" s="457"/>
    </row>
    <row r="679" spans="5:7">
      <c r="E679" s="157"/>
      <c r="F679" s="157"/>
      <c r="G679" s="457"/>
    </row>
    <row r="680" spans="5:7">
      <c r="E680" s="157"/>
      <c r="F680" s="157"/>
      <c r="G680" s="457"/>
    </row>
    <row r="681" spans="5:7">
      <c r="E681" s="157"/>
      <c r="F681" s="157"/>
      <c r="G681" s="457"/>
    </row>
    <row r="682" spans="5:7">
      <c r="E682" s="157"/>
      <c r="F682" s="157"/>
      <c r="G682" s="457"/>
    </row>
    <row r="683" spans="5:7">
      <c r="E683" s="157"/>
      <c r="F683" s="157"/>
      <c r="G683" s="457"/>
    </row>
    <row r="684" spans="5:7">
      <c r="E684" s="157"/>
      <c r="F684" s="157"/>
      <c r="G684" s="457"/>
    </row>
    <row r="685" spans="5:7">
      <c r="E685" s="157"/>
      <c r="F685" s="157"/>
      <c r="G685" s="457"/>
    </row>
    <row r="686" spans="5:7">
      <c r="E686" s="157"/>
      <c r="F686" s="157"/>
      <c r="G686" s="457"/>
    </row>
    <row r="687" spans="5:7">
      <c r="E687" s="157"/>
      <c r="F687" s="157"/>
      <c r="G687" s="457"/>
    </row>
    <row r="688" spans="5:7">
      <c r="E688" s="157"/>
      <c r="F688" s="157"/>
      <c r="G688" s="457"/>
    </row>
    <row r="689" spans="5:7">
      <c r="E689" s="157"/>
      <c r="F689" s="157"/>
      <c r="G689" s="457"/>
    </row>
    <row r="690" spans="5:7">
      <c r="E690" s="157"/>
      <c r="F690" s="157"/>
      <c r="G690" s="457"/>
    </row>
    <row r="691" spans="5:7">
      <c r="E691" s="157"/>
      <c r="F691" s="157"/>
      <c r="G691" s="457"/>
    </row>
    <row r="692" spans="5:7">
      <c r="E692" s="157"/>
      <c r="F692" s="157"/>
      <c r="G692" s="457"/>
    </row>
    <row r="693" spans="5:7">
      <c r="E693" s="157"/>
      <c r="F693" s="157"/>
      <c r="G693" s="457"/>
    </row>
    <row r="694" spans="5:7">
      <c r="E694" s="157"/>
      <c r="F694" s="157"/>
      <c r="G694" s="457"/>
    </row>
    <row r="695" spans="5:7">
      <c r="E695" s="157"/>
      <c r="F695" s="157"/>
      <c r="G695" s="457"/>
    </row>
    <row r="696" spans="5:7">
      <c r="E696" s="157"/>
      <c r="F696" s="157"/>
      <c r="G696" s="457"/>
    </row>
    <row r="697" spans="5:7">
      <c r="E697" s="157"/>
      <c r="F697" s="157"/>
      <c r="G697" s="457"/>
    </row>
    <row r="698" spans="5:7">
      <c r="E698" s="157"/>
      <c r="F698" s="157"/>
      <c r="G698" s="457"/>
    </row>
    <row r="699" spans="5:7">
      <c r="E699" s="157"/>
      <c r="F699" s="157"/>
      <c r="G699" s="457"/>
    </row>
    <row r="700" spans="5:7">
      <c r="E700" s="157"/>
      <c r="F700" s="157"/>
      <c r="G700" s="457"/>
    </row>
    <row r="701" spans="5:7">
      <c r="E701" s="157"/>
      <c r="F701" s="157"/>
      <c r="G701" s="457"/>
    </row>
    <row r="702" spans="5:7">
      <c r="E702" s="157"/>
      <c r="F702" s="157"/>
      <c r="G702" s="457"/>
    </row>
    <row r="703" spans="5:7">
      <c r="E703" s="157"/>
      <c r="F703" s="157"/>
      <c r="G703" s="457"/>
    </row>
    <row r="704" spans="5:7">
      <c r="E704" s="157"/>
      <c r="F704" s="157"/>
      <c r="G704" s="457"/>
    </row>
    <row r="705" spans="5:7">
      <c r="E705" s="157"/>
      <c r="F705" s="157"/>
      <c r="G705" s="457"/>
    </row>
    <row r="706" spans="5:7">
      <c r="E706" s="157"/>
      <c r="F706" s="157"/>
      <c r="G706" s="457"/>
    </row>
    <row r="707" spans="5:7">
      <c r="E707" s="157"/>
      <c r="F707" s="157"/>
      <c r="G707" s="457"/>
    </row>
    <row r="708" spans="5:7">
      <c r="E708" s="157"/>
      <c r="F708" s="157"/>
      <c r="G708" s="457"/>
    </row>
    <row r="709" spans="5:7">
      <c r="E709" s="157"/>
      <c r="F709" s="157"/>
      <c r="G709" s="457"/>
    </row>
    <row r="710" spans="5:7">
      <c r="E710" s="157"/>
      <c r="F710" s="157"/>
      <c r="G710" s="457"/>
    </row>
    <row r="711" spans="5:7">
      <c r="E711" s="157"/>
      <c r="F711" s="157"/>
      <c r="G711" s="457"/>
    </row>
    <row r="712" spans="5:7">
      <c r="E712" s="157"/>
      <c r="F712" s="157"/>
      <c r="G712" s="457"/>
    </row>
    <row r="713" spans="5:7">
      <c r="E713" s="157"/>
      <c r="F713" s="157"/>
      <c r="G713" s="457"/>
    </row>
    <row r="714" spans="5:7">
      <c r="E714" s="157"/>
      <c r="F714" s="157"/>
      <c r="G714" s="457"/>
    </row>
    <row r="715" spans="5:7">
      <c r="E715" s="157"/>
      <c r="F715" s="157"/>
      <c r="G715" s="457"/>
    </row>
    <row r="716" spans="5:7">
      <c r="E716" s="157"/>
      <c r="F716" s="157"/>
      <c r="G716" s="457"/>
    </row>
    <row r="717" spans="5:7">
      <c r="E717" s="157"/>
      <c r="F717" s="157"/>
      <c r="G717" s="457"/>
    </row>
    <row r="718" spans="5:7">
      <c r="E718" s="157"/>
      <c r="F718" s="157"/>
      <c r="G718" s="457"/>
    </row>
    <row r="719" spans="5:7">
      <c r="E719" s="157"/>
      <c r="F719" s="157"/>
      <c r="G719" s="457"/>
    </row>
    <row r="720" spans="5:7">
      <c r="E720" s="157"/>
      <c r="F720" s="157"/>
      <c r="G720" s="457"/>
    </row>
    <row r="721" spans="5:7">
      <c r="E721" s="157"/>
      <c r="F721" s="157"/>
      <c r="G721" s="457"/>
    </row>
    <row r="722" spans="5:7">
      <c r="E722" s="157"/>
      <c r="F722" s="157"/>
      <c r="G722" s="457"/>
    </row>
    <row r="723" spans="5:7">
      <c r="E723" s="157"/>
      <c r="F723" s="157"/>
      <c r="G723" s="457"/>
    </row>
    <row r="724" spans="5:7">
      <c r="E724" s="157"/>
      <c r="F724" s="157"/>
      <c r="G724" s="457"/>
    </row>
    <row r="725" spans="5:7">
      <c r="E725" s="157"/>
      <c r="F725" s="157"/>
      <c r="G725" s="457"/>
    </row>
    <row r="726" spans="5:7">
      <c r="E726" s="157"/>
      <c r="F726" s="157"/>
      <c r="G726" s="457"/>
    </row>
    <row r="727" spans="5:7">
      <c r="E727" s="157"/>
      <c r="F727" s="157"/>
      <c r="G727" s="457"/>
    </row>
    <row r="728" spans="5:7">
      <c r="E728" s="157"/>
      <c r="F728" s="157"/>
      <c r="G728" s="457"/>
    </row>
    <row r="729" spans="5:7">
      <c r="E729" s="157"/>
      <c r="F729" s="157"/>
      <c r="G729" s="457"/>
    </row>
    <row r="730" spans="5:7">
      <c r="E730" s="157"/>
      <c r="F730" s="157"/>
      <c r="G730" s="457"/>
    </row>
    <row r="731" spans="5:7">
      <c r="E731" s="157"/>
      <c r="F731" s="157"/>
      <c r="G731" s="457"/>
    </row>
    <row r="732" spans="5:7">
      <c r="E732" s="157"/>
      <c r="F732" s="157"/>
      <c r="G732" s="457"/>
    </row>
    <row r="733" spans="5:7">
      <c r="E733" s="157"/>
      <c r="F733" s="157"/>
      <c r="G733" s="457"/>
    </row>
    <row r="734" spans="5:7">
      <c r="E734" s="157"/>
      <c r="F734" s="157"/>
      <c r="G734" s="457"/>
    </row>
    <row r="735" spans="5:7">
      <c r="E735" s="157"/>
      <c r="F735" s="157"/>
      <c r="G735" s="457"/>
    </row>
    <row r="736" spans="5:7">
      <c r="E736" s="157"/>
      <c r="F736" s="157"/>
      <c r="G736" s="457"/>
    </row>
    <row r="737" spans="5:7">
      <c r="E737" s="157"/>
      <c r="F737" s="157"/>
      <c r="G737" s="457"/>
    </row>
    <row r="738" spans="5:7">
      <c r="E738" s="157"/>
      <c r="F738" s="157"/>
      <c r="G738" s="457"/>
    </row>
    <row r="739" spans="5:7">
      <c r="E739" s="157"/>
      <c r="F739" s="157"/>
      <c r="G739" s="457"/>
    </row>
    <row r="740" spans="5:7">
      <c r="E740" s="157"/>
      <c r="F740" s="157"/>
      <c r="G740" s="457"/>
    </row>
    <row r="741" spans="5:7">
      <c r="E741" s="157"/>
      <c r="F741" s="157"/>
      <c r="G741" s="457"/>
    </row>
    <row r="742" spans="5:7">
      <c r="E742" s="157"/>
      <c r="F742" s="157"/>
      <c r="G742" s="457"/>
    </row>
    <row r="743" spans="5:7">
      <c r="E743" s="157"/>
      <c r="F743" s="157"/>
      <c r="G743" s="457"/>
    </row>
    <row r="744" spans="5:7">
      <c r="E744" s="157"/>
      <c r="F744" s="157"/>
      <c r="G744" s="457"/>
    </row>
    <row r="745" spans="5:7">
      <c r="E745" s="157"/>
      <c r="F745" s="157"/>
      <c r="G745" s="457"/>
    </row>
    <row r="746" spans="5:7">
      <c r="E746" s="157"/>
      <c r="F746" s="157"/>
      <c r="G746" s="457"/>
    </row>
    <row r="747" spans="5:7">
      <c r="E747" s="157"/>
      <c r="F747" s="157"/>
      <c r="G747" s="457"/>
    </row>
    <row r="748" spans="5:7">
      <c r="E748" s="157"/>
      <c r="F748" s="157"/>
      <c r="G748" s="457"/>
    </row>
    <row r="749" spans="5:7">
      <c r="E749" s="157"/>
      <c r="F749" s="157"/>
      <c r="G749" s="457"/>
    </row>
    <row r="750" spans="5:7">
      <c r="E750" s="157"/>
      <c r="F750" s="157"/>
      <c r="G750" s="457"/>
    </row>
    <row r="751" spans="5:7">
      <c r="E751" s="157"/>
      <c r="F751" s="157"/>
      <c r="G751" s="457"/>
    </row>
    <row r="752" spans="5:7">
      <c r="E752" s="157"/>
      <c r="F752" s="157"/>
      <c r="G752" s="457"/>
    </row>
    <row r="753" spans="5:7">
      <c r="E753" s="157"/>
      <c r="F753" s="157"/>
      <c r="G753" s="457"/>
    </row>
    <row r="754" spans="5:7">
      <c r="E754" s="157"/>
      <c r="F754" s="157"/>
      <c r="G754" s="457"/>
    </row>
    <row r="755" spans="5:7">
      <c r="E755" s="157"/>
      <c r="F755" s="157"/>
      <c r="G755" s="457"/>
    </row>
    <row r="756" spans="5:7">
      <c r="E756" s="157"/>
      <c r="F756" s="157"/>
      <c r="G756" s="457"/>
    </row>
    <row r="757" spans="5:7">
      <c r="E757" s="157"/>
      <c r="F757" s="157"/>
      <c r="G757" s="457"/>
    </row>
    <row r="758" spans="5:7">
      <c r="E758" s="157"/>
      <c r="F758" s="157"/>
      <c r="G758" s="457"/>
    </row>
    <row r="759" spans="5:7">
      <c r="E759" s="157"/>
      <c r="F759" s="157"/>
      <c r="G759" s="457"/>
    </row>
    <row r="760" spans="5:7">
      <c r="E760" s="157"/>
      <c r="F760" s="157"/>
      <c r="G760" s="457"/>
    </row>
    <row r="761" spans="5:7">
      <c r="E761" s="157"/>
      <c r="F761" s="157"/>
      <c r="G761" s="457"/>
    </row>
    <row r="762" spans="5:7">
      <c r="E762" s="157"/>
      <c r="F762" s="157"/>
      <c r="G762" s="457"/>
    </row>
    <row r="763" spans="5:7">
      <c r="E763" s="157"/>
      <c r="F763" s="157"/>
      <c r="G763" s="457"/>
    </row>
    <row r="764" spans="5:7">
      <c r="E764" s="157"/>
      <c r="F764" s="157"/>
      <c r="G764" s="457"/>
    </row>
    <row r="765" spans="5:7">
      <c r="E765" s="157"/>
      <c r="F765" s="157"/>
      <c r="G765" s="457"/>
    </row>
    <row r="766" spans="5:7">
      <c r="E766" s="157"/>
      <c r="F766" s="157"/>
      <c r="G766" s="457"/>
    </row>
    <row r="767" spans="5:7">
      <c r="E767" s="157"/>
      <c r="F767" s="157"/>
      <c r="G767" s="457"/>
    </row>
    <row r="768" spans="5:7">
      <c r="E768" s="157"/>
      <c r="F768" s="157"/>
      <c r="G768" s="457"/>
    </row>
    <row r="769" spans="5:7">
      <c r="E769" s="157"/>
      <c r="F769" s="157"/>
      <c r="G769" s="457"/>
    </row>
    <row r="770" spans="5:7">
      <c r="E770" s="157"/>
      <c r="F770" s="157"/>
      <c r="G770" s="457"/>
    </row>
    <row r="771" spans="5:7">
      <c r="E771" s="157"/>
      <c r="F771" s="157"/>
      <c r="G771" s="457"/>
    </row>
    <row r="772" spans="5:7">
      <c r="E772" s="157"/>
      <c r="F772" s="157"/>
      <c r="G772" s="457"/>
    </row>
    <row r="773" spans="5:7">
      <c r="E773" s="157"/>
      <c r="F773" s="157"/>
      <c r="G773" s="457"/>
    </row>
    <row r="774" spans="5:7">
      <c r="E774" s="157"/>
      <c r="F774" s="157"/>
      <c r="G774" s="457"/>
    </row>
    <row r="775" spans="5:7">
      <c r="E775" s="157"/>
      <c r="F775" s="157"/>
      <c r="G775" s="457"/>
    </row>
    <row r="776" spans="5:7">
      <c r="E776" s="157"/>
      <c r="F776" s="157"/>
      <c r="G776" s="457"/>
    </row>
    <row r="777" spans="5:7">
      <c r="E777" s="157"/>
      <c r="F777" s="157"/>
      <c r="G777" s="457"/>
    </row>
    <row r="778" spans="5:7">
      <c r="E778" s="157"/>
      <c r="F778" s="157"/>
      <c r="G778" s="457"/>
    </row>
    <row r="779" spans="5:7">
      <c r="E779" s="157"/>
      <c r="F779" s="157"/>
      <c r="G779" s="457"/>
    </row>
    <row r="780" spans="5:7">
      <c r="E780" s="157"/>
      <c r="F780" s="157"/>
      <c r="G780" s="457"/>
    </row>
    <row r="781" spans="5:7">
      <c r="E781" s="157"/>
      <c r="F781" s="157"/>
      <c r="G781" s="457"/>
    </row>
    <row r="782" spans="5:7">
      <c r="E782" s="157"/>
      <c r="F782" s="157"/>
      <c r="G782" s="457"/>
    </row>
    <row r="783" spans="5:7">
      <c r="E783" s="157"/>
      <c r="F783" s="157"/>
      <c r="G783" s="457"/>
    </row>
    <row r="784" spans="5:7">
      <c r="E784" s="157"/>
      <c r="F784" s="157"/>
      <c r="G784" s="457"/>
    </row>
    <row r="785" spans="5:7">
      <c r="E785" s="157"/>
      <c r="F785" s="157"/>
      <c r="G785" s="457"/>
    </row>
    <row r="786" spans="5:7">
      <c r="E786" s="157"/>
      <c r="F786" s="157"/>
      <c r="G786" s="457"/>
    </row>
    <row r="787" spans="5:7">
      <c r="E787" s="157"/>
      <c r="F787" s="157"/>
      <c r="G787" s="457"/>
    </row>
    <row r="788" spans="5:7">
      <c r="E788" s="157"/>
      <c r="F788" s="157"/>
      <c r="G788" s="457"/>
    </row>
    <row r="789" spans="5:7">
      <c r="E789" s="157"/>
      <c r="F789" s="157"/>
      <c r="G789" s="457"/>
    </row>
    <row r="790" spans="5:7">
      <c r="E790" s="157"/>
      <c r="F790" s="157"/>
      <c r="G790" s="457"/>
    </row>
    <row r="791" spans="5:7">
      <c r="E791" s="157"/>
      <c r="F791" s="157"/>
      <c r="G791" s="457"/>
    </row>
    <row r="792" spans="5:7">
      <c r="E792" s="157"/>
      <c r="F792" s="157"/>
      <c r="G792" s="457"/>
    </row>
    <row r="793" spans="5:7">
      <c r="E793" s="157"/>
      <c r="F793" s="157"/>
      <c r="G793" s="457"/>
    </row>
    <row r="794" spans="5:7">
      <c r="E794" s="157"/>
      <c r="F794" s="157"/>
      <c r="G794" s="457"/>
    </row>
    <row r="795" spans="5:7">
      <c r="E795" s="157"/>
      <c r="F795" s="157"/>
      <c r="G795" s="457"/>
    </row>
    <row r="796" spans="5:7">
      <c r="E796" s="157"/>
      <c r="F796" s="157"/>
      <c r="G796" s="457"/>
    </row>
    <row r="797" spans="5:7">
      <c r="E797" s="157"/>
      <c r="F797" s="157"/>
      <c r="G797" s="457"/>
    </row>
    <row r="798" spans="5:7">
      <c r="E798" s="157"/>
      <c r="F798" s="157"/>
      <c r="G798" s="457"/>
    </row>
    <row r="799" spans="5:7">
      <c r="E799" s="157"/>
      <c r="F799" s="157"/>
      <c r="G799" s="457"/>
    </row>
    <row r="800" spans="5:7">
      <c r="E800" s="157"/>
      <c r="F800" s="157"/>
      <c r="G800" s="457"/>
    </row>
    <row r="801" spans="5:7">
      <c r="E801" s="157"/>
      <c r="F801" s="157"/>
      <c r="G801" s="457"/>
    </row>
    <row r="802" spans="5:7">
      <c r="E802" s="157"/>
      <c r="F802" s="157"/>
      <c r="G802" s="457"/>
    </row>
    <row r="803" spans="5:7">
      <c r="E803" s="157"/>
      <c r="F803" s="157"/>
      <c r="G803" s="457"/>
    </row>
    <row r="804" spans="5:7">
      <c r="E804" s="157"/>
      <c r="F804" s="157"/>
      <c r="G804" s="457"/>
    </row>
    <row r="805" spans="5:7">
      <c r="E805" s="157"/>
      <c r="F805" s="157"/>
      <c r="G805" s="457"/>
    </row>
    <row r="806" spans="5:7">
      <c r="E806" s="157"/>
      <c r="F806" s="157"/>
      <c r="G806" s="457"/>
    </row>
    <row r="807" spans="5:7">
      <c r="E807" s="157"/>
      <c r="F807" s="157"/>
      <c r="G807" s="457"/>
    </row>
    <row r="808" spans="5:7">
      <c r="E808" s="157"/>
      <c r="F808" s="157"/>
      <c r="G808" s="457"/>
    </row>
    <row r="809" spans="5:7">
      <c r="E809" s="157"/>
      <c r="F809" s="157"/>
      <c r="G809" s="457"/>
    </row>
    <row r="810" spans="5:7">
      <c r="E810" s="157"/>
      <c r="F810" s="157"/>
      <c r="G810" s="457"/>
    </row>
    <row r="811" spans="5:7">
      <c r="E811" s="157"/>
      <c r="F811" s="157"/>
      <c r="G811" s="457"/>
    </row>
    <row r="812" spans="5:7">
      <c r="E812" s="157"/>
      <c r="F812" s="157"/>
      <c r="G812" s="457"/>
    </row>
    <row r="813" spans="5:7">
      <c r="E813" s="157"/>
      <c r="F813" s="157"/>
      <c r="G813" s="457"/>
    </row>
    <row r="814" spans="5:7">
      <c r="E814" s="157"/>
      <c r="F814" s="157"/>
      <c r="G814" s="457"/>
    </row>
    <row r="815" spans="5:7">
      <c r="E815" s="157"/>
      <c r="F815" s="157"/>
      <c r="G815" s="457"/>
    </row>
    <row r="816" spans="5:7">
      <c r="E816" s="157"/>
      <c r="F816" s="157"/>
      <c r="G816" s="457"/>
    </row>
    <row r="817" spans="5:7">
      <c r="E817" s="157"/>
      <c r="F817" s="157"/>
      <c r="G817" s="457"/>
    </row>
    <row r="818" spans="5:7">
      <c r="E818" s="157"/>
      <c r="F818" s="157"/>
      <c r="G818" s="457"/>
    </row>
    <row r="819" spans="5:7">
      <c r="E819" s="157"/>
      <c r="F819" s="157"/>
      <c r="G819" s="457"/>
    </row>
    <row r="820" spans="5:7">
      <c r="E820" s="157"/>
      <c r="F820" s="157"/>
      <c r="G820" s="457"/>
    </row>
    <row r="821" spans="5:7">
      <c r="E821" s="157"/>
      <c r="F821" s="157"/>
      <c r="G821" s="457"/>
    </row>
    <row r="822" spans="5:7">
      <c r="E822" s="157"/>
      <c r="F822" s="157"/>
      <c r="G822" s="457"/>
    </row>
    <row r="823" spans="5:7">
      <c r="E823" s="157"/>
      <c r="F823" s="157"/>
      <c r="G823" s="457"/>
    </row>
    <row r="824" spans="5:7">
      <c r="E824" s="157"/>
      <c r="F824" s="157"/>
      <c r="G824" s="457"/>
    </row>
    <row r="825" spans="5:7">
      <c r="E825" s="157"/>
      <c r="F825" s="157"/>
      <c r="G825" s="457"/>
    </row>
    <row r="826" spans="5:7">
      <c r="E826" s="157"/>
      <c r="F826" s="157"/>
      <c r="G826" s="457"/>
    </row>
    <row r="827" spans="5:7">
      <c r="E827" s="157"/>
      <c r="F827" s="157"/>
      <c r="G827" s="457"/>
    </row>
    <row r="828" spans="5:7">
      <c r="E828" s="157"/>
      <c r="F828" s="157"/>
      <c r="G828" s="457"/>
    </row>
    <row r="829" spans="5:7">
      <c r="E829" s="157"/>
      <c r="F829" s="157"/>
      <c r="G829" s="457"/>
    </row>
    <row r="830" spans="5:7">
      <c r="E830" s="157"/>
      <c r="F830" s="157"/>
      <c r="G830" s="457"/>
    </row>
    <row r="831" spans="5:7">
      <c r="E831" s="157"/>
      <c r="F831" s="157"/>
      <c r="G831" s="457"/>
    </row>
    <row r="832" spans="5:7">
      <c r="E832" s="157"/>
      <c r="F832" s="157"/>
      <c r="G832" s="457"/>
    </row>
    <row r="833" spans="5:7">
      <c r="E833" s="157"/>
      <c r="F833" s="157"/>
      <c r="G833" s="457"/>
    </row>
    <row r="834" spans="5:7">
      <c r="E834" s="157"/>
      <c r="F834" s="157"/>
      <c r="G834" s="457"/>
    </row>
    <row r="835" spans="5:7">
      <c r="E835" s="157"/>
      <c r="F835" s="157"/>
      <c r="G835" s="457"/>
    </row>
    <row r="836" spans="5:7">
      <c r="E836" s="157"/>
      <c r="F836" s="157"/>
      <c r="G836" s="457"/>
    </row>
    <row r="837" spans="5:7">
      <c r="E837" s="157"/>
      <c r="F837" s="157"/>
      <c r="G837" s="457"/>
    </row>
    <row r="838" spans="5:7">
      <c r="E838" s="157"/>
      <c r="F838" s="157"/>
      <c r="G838" s="457"/>
    </row>
    <row r="839" spans="5:7">
      <c r="E839" s="157"/>
      <c r="F839" s="157"/>
      <c r="G839" s="457"/>
    </row>
    <row r="840" spans="5:7">
      <c r="E840" s="157"/>
      <c r="F840" s="157"/>
      <c r="G840" s="457"/>
    </row>
    <row r="841" spans="5:7">
      <c r="E841" s="157"/>
      <c r="F841" s="157"/>
      <c r="G841" s="457"/>
    </row>
    <row r="842" spans="5:7">
      <c r="E842" s="157"/>
      <c r="F842" s="157"/>
      <c r="G842" s="457"/>
    </row>
    <row r="843" spans="5:7">
      <c r="E843" s="157"/>
      <c r="F843" s="157"/>
      <c r="G843" s="457"/>
    </row>
    <row r="844" spans="5:7">
      <c r="E844" s="157"/>
      <c r="F844" s="157"/>
      <c r="G844" s="457"/>
    </row>
    <row r="845" spans="5:7">
      <c r="E845" s="157"/>
      <c r="F845" s="157"/>
      <c r="G845" s="457"/>
    </row>
    <row r="846" spans="5:7">
      <c r="E846" s="157"/>
      <c r="F846" s="157"/>
      <c r="G846" s="457"/>
    </row>
    <row r="847" spans="5:7">
      <c r="E847" s="157"/>
      <c r="F847" s="157"/>
      <c r="G847" s="457"/>
    </row>
    <row r="848" spans="5:7">
      <c r="E848" s="157"/>
      <c r="F848" s="157"/>
      <c r="G848" s="457"/>
    </row>
    <row r="849" spans="5:7">
      <c r="E849" s="157"/>
      <c r="F849" s="157"/>
      <c r="G849" s="457"/>
    </row>
    <row r="850" spans="5:7">
      <c r="E850" s="157"/>
      <c r="F850" s="157"/>
      <c r="G850" s="457"/>
    </row>
    <row r="851" spans="5:7">
      <c r="E851" s="157"/>
      <c r="F851" s="157"/>
      <c r="G851" s="457"/>
    </row>
    <row r="852" spans="5:7">
      <c r="E852" s="157"/>
      <c r="F852" s="157"/>
      <c r="G852" s="457"/>
    </row>
    <row r="853" spans="5:7">
      <c r="E853" s="157"/>
      <c r="F853" s="157"/>
      <c r="G853" s="457"/>
    </row>
    <row r="854" spans="5:7">
      <c r="E854" s="157"/>
      <c r="F854" s="157"/>
      <c r="G854" s="457"/>
    </row>
    <row r="855" spans="5:7">
      <c r="E855" s="157"/>
      <c r="F855" s="157"/>
      <c r="G855" s="457"/>
    </row>
    <row r="856" spans="5:7">
      <c r="E856" s="157"/>
      <c r="F856" s="157"/>
      <c r="G856" s="457"/>
    </row>
    <row r="857" spans="5:7">
      <c r="E857" s="157"/>
      <c r="F857" s="157"/>
      <c r="G857" s="457"/>
    </row>
    <row r="858" spans="5:7">
      <c r="E858" s="157"/>
      <c r="F858" s="157"/>
      <c r="G858" s="457"/>
    </row>
    <row r="859" spans="5:7">
      <c r="E859" s="157"/>
      <c r="F859" s="157"/>
      <c r="G859" s="457"/>
    </row>
    <row r="860" spans="5:7">
      <c r="E860" s="157"/>
      <c r="F860" s="157"/>
      <c r="G860" s="457"/>
    </row>
    <row r="861" spans="5:7">
      <c r="E861" s="157"/>
      <c r="F861" s="157"/>
      <c r="G861" s="457"/>
    </row>
    <row r="862" spans="5:7">
      <c r="E862" s="157"/>
      <c r="F862" s="157"/>
      <c r="G862" s="457"/>
    </row>
    <row r="863" spans="5:7">
      <c r="E863" s="157"/>
      <c r="F863" s="157"/>
      <c r="G863" s="457"/>
    </row>
    <row r="864" spans="5:7">
      <c r="E864" s="157"/>
      <c r="F864" s="157"/>
      <c r="G864" s="457"/>
    </row>
    <row r="865" spans="5:7">
      <c r="E865" s="157"/>
      <c r="F865" s="157"/>
      <c r="G865" s="457"/>
    </row>
    <row r="866" spans="5:7">
      <c r="E866" s="157"/>
      <c r="F866" s="157"/>
      <c r="G866" s="457"/>
    </row>
    <row r="867" spans="5:7">
      <c r="E867" s="157"/>
      <c r="F867" s="157"/>
      <c r="G867" s="457"/>
    </row>
    <row r="868" spans="5:7">
      <c r="E868" s="157"/>
      <c r="F868" s="157"/>
      <c r="G868" s="457"/>
    </row>
    <row r="869" spans="5:7">
      <c r="E869" s="157"/>
      <c r="F869" s="157"/>
      <c r="G869" s="457"/>
    </row>
    <row r="870" spans="5:7">
      <c r="E870" s="157"/>
      <c r="F870" s="157"/>
      <c r="G870" s="457"/>
    </row>
    <row r="871" spans="5:7">
      <c r="E871" s="157"/>
      <c r="F871" s="157"/>
      <c r="G871" s="457"/>
    </row>
    <row r="872" spans="5:7">
      <c r="E872" s="157"/>
      <c r="F872" s="157"/>
      <c r="G872" s="457"/>
    </row>
    <row r="873" spans="5:7">
      <c r="E873" s="157"/>
      <c r="F873" s="157"/>
      <c r="G873" s="457"/>
    </row>
    <row r="874" spans="5:7">
      <c r="E874" s="157"/>
      <c r="F874" s="157"/>
      <c r="G874" s="457"/>
    </row>
    <row r="875" spans="5:7">
      <c r="E875" s="157"/>
      <c r="F875" s="157"/>
      <c r="G875" s="457"/>
    </row>
    <row r="876" spans="5:7">
      <c r="E876" s="157"/>
      <c r="F876" s="157"/>
      <c r="G876" s="457"/>
    </row>
    <row r="877" spans="5:7">
      <c r="E877" s="157"/>
      <c r="F877" s="157"/>
      <c r="G877" s="457"/>
    </row>
    <row r="878" spans="5:7">
      <c r="E878" s="157"/>
      <c r="F878" s="157"/>
      <c r="G878" s="457"/>
    </row>
    <row r="879" spans="5:7">
      <c r="E879" s="157"/>
      <c r="F879" s="157"/>
      <c r="G879" s="457"/>
    </row>
    <row r="880" spans="5:7">
      <c r="E880" s="157"/>
      <c r="F880" s="157"/>
      <c r="G880" s="457"/>
    </row>
    <row r="881" spans="5:7">
      <c r="E881" s="157"/>
      <c r="F881" s="157"/>
      <c r="G881" s="457"/>
    </row>
    <row r="882" spans="5:7">
      <c r="E882" s="157"/>
      <c r="F882" s="157"/>
      <c r="G882" s="457"/>
    </row>
    <row r="883" spans="5:7">
      <c r="E883" s="157"/>
      <c r="F883" s="157"/>
      <c r="G883" s="457"/>
    </row>
    <row r="884" spans="5:7">
      <c r="E884" s="157"/>
      <c r="F884" s="157"/>
      <c r="G884" s="457"/>
    </row>
    <row r="885" spans="5:7">
      <c r="E885" s="157"/>
      <c r="F885" s="157"/>
      <c r="G885" s="457"/>
    </row>
    <row r="886" spans="5:7">
      <c r="E886" s="157"/>
      <c r="F886" s="157"/>
      <c r="G886" s="457"/>
    </row>
    <row r="887" spans="5:7">
      <c r="E887" s="157"/>
      <c r="F887" s="157"/>
      <c r="G887" s="457"/>
    </row>
    <row r="888" spans="5:7">
      <c r="E888" s="157"/>
      <c r="F888" s="157"/>
      <c r="G888" s="457"/>
    </row>
    <row r="889" spans="5:7">
      <c r="E889" s="157"/>
      <c r="F889" s="157"/>
      <c r="G889" s="457"/>
    </row>
    <row r="890" spans="5:7">
      <c r="E890" s="157"/>
      <c r="F890" s="157"/>
      <c r="G890" s="457"/>
    </row>
    <row r="891" spans="5:7">
      <c r="E891" s="157"/>
      <c r="F891" s="157"/>
      <c r="G891" s="457"/>
    </row>
    <row r="892" spans="5:7">
      <c r="E892" s="157"/>
      <c r="F892" s="157"/>
      <c r="G892" s="457"/>
    </row>
    <row r="893" spans="5:7">
      <c r="E893" s="157"/>
      <c r="F893" s="157"/>
      <c r="G893" s="457"/>
    </row>
    <row r="894" spans="5:7">
      <c r="E894" s="157"/>
      <c r="F894" s="157"/>
      <c r="G894" s="457"/>
    </row>
    <row r="895" spans="5:7">
      <c r="E895" s="157"/>
      <c r="F895" s="157"/>
      <c r="G895" s="457"/>
    </row>
    <row r="896" spans="5:7">
      <c r="E896" s="157"/>
      <c r="F896" s="157"/>
      <c r="G896" s="457"/>
    </row>
    <row r="897" spans="5:7">
      <c r="E897" s="157"/>
      <c r="F897" s="157"/>
      <c r="G897" s="457"/>
    </row>
    <row r="898" spans="5:7">
      <c r="E898" s="157"/>
      <c r="F898" s="157"/>
      <c r="G898" s="457"/>
    </row>
    <row r="899" spans="5:7">
      <c r="E899" s="157"/>
      <c r="F899" s="157"/>
      <c r="G899" s="457"/>
    </row>
    <row r="900" spans="5:7">
      <c r="E900" s="157"/>
      <c r="F900" s="157"/>
      <c r="G900" s="457"/>
    </row>
    <row r="901" spans="5:7">
      <c r="E901" s="157"/>
      <c r="F901" s="157"/>
      <c r="G901" s="457"/>
    </row>
    <row r="902" spans="5:7">
      <c r="E902" s="157"/>
      <c r="F902" s="157"/>
      <c r="G902" s="457"/>
    </row>
    <row r="903" spans="5:7">
      <c r="E903" s="157"/>
      <c r="F903" s="157"/>
      <c r="G903" s="457"/>
    </row>
    <row r="904" spans="5:7">
      <c r="E904" s="157"/>
      <c r="F904" s="157"/>
      <c r="G904" s="457"/>
    </row>
    <row r="905" spans="5:7">
      <c r="E905" s="157"/>
      <c r="F905" s="157"/>
      <c r="G905" s="457"/>
    </row>
    <row r="906" spans="5:7">
      <c r="E906" s="157"/>
      <c r="F906" s="157"/>
      <c r="G906" s="457"/>
    </row>
    <row r="907" spans="5:7">
      <c r="E907" s="157"/>
      <c r="F907" s="157"/>
      <c r="G907" s="457"/>
    </row>
    <row r="908" spans="5:7">
      <c r="E908" s="157"/>
      <c r="F908" s="157"/>
      <c r="G908" s="457"/>
    </row>
    <row r="909" spans="5:7">
      <c r="E909" s="157"/>
      <c r="F909" s="157"/>
      <c r="G909" s="457"/>
    </row>
    <row r="910" spans="5:7">
      <c r="E910" s="157"/>
      <c r="F910" s="157"/>
      <c r="G910" s="457"/>
    </row>
    <row r="911" spans="5:7">
      <c r="E911" s="157"/>
      <c r="F911" s="157"/>
      <c r="G911" s="457"/>
    </row>
    <row r="912" spans="5:7">
      <c r="E912" s="157"/>
      <c r="F912" s="157"/>
      <c r="G912" s="457"/>
    </row>
    <row r="913" spans="5:7">
      <c r="E913" s="157"/>
      <c r="F913" s="157"/>
      <c r="G913" s="457"/>
    </row>
    <row r="914" spans="5:7">
      <c r="E914" s="157"/>
      <c r="F914" s="157"/>
      <c r="G914" s="457"/>
    </row>
    <row r="915" spans="5:7">
      <c r="E915" s="157"/>
      <c r="F915" s="157"/>
      <c r="G915" s="457"/>
    </row>
    <row r="916" spans="5:7">
      <c r="E916" s="157"/>
      <c r="F916" s="157"/>
      <c r="G916" s="457"/>
    </row>
    <row r="917" spans="5:7">
      <c r="E917" s="157"/>
      <c r="F917" s="157"/>
      <c r="G917" s="457"/>
    </row>
    <row r="918" spans="5:7">
      <c r="E918" s="157"/>
      <c r="F918" s="157"/>
      <c r="G918" s="457"/>
    </row>
    <row r="919" spans="5:7">
      <c r="E919" s="157"/>
      <c r="F919" s="157"/>
      <c r="G919" s="457"/>
    </row>
    <row r="920" spans="5:7">
      <c r="E920" s="157"/>
      <c r="F920" s="157"/>
      <c r="G920" s="457"/>
    </row>
    <row r="921" spans="5:7">
      <c r="E921" s="157"/>
      <c r="F921" s="157"/>
      <c r="G921" s="457"/>
    </row>
    <row r="922" spans="5:7">
      <c r="E922" s="157"/>
      <c r="F922" s="157"/>
      <c r="G922" s="457"/>
    </row>
    <row r="923" spans="5:7">
      <c r="E923" s="157"/>
      <c r="F923" s="157"/>
      <c r="G923" s="457"/>
    </row>
    <row r="924" spans="5:7">
      <c r="E924" s="157"/>
      <c r="F924" s="157"/>
      <c r="G924" s="457"/>
    </row>
    <row r="925" spans="5:7">
      <c r="E925" s="157"/>
      <c r="F925" s="157"/>
      <c r="G925" s="457"/>
    </row>
    <row r="926" spans="5:7">
      <c r="E926" s="157"/>
      <c r="F926" s="157"/>
      <c r="G926" s="457"/>
    </row>
    <row r="927" spans="5:7">
      <c r="E927" s="157"/>
      <c r="F927" s="157"/>
      <c r="G927" s="457"/>
    </row>
    <row r="928" spans="5:7">
      <c r="E928" s="157"/>
      <c r="F928" s="157"/>
      <c r="G928" s="457"/>
    </row>
    <row r="929" spans="5:7">
      <c r="E929" s="157"/>
      <c r="F929" s="157"/>
      <c r="G929" s="457"/>
    </row>
    <row r="930" spans="5:7">
      <c r="E930" s="157"/>
      <c r="F930" s="157"/>
      <c r="G930" s="457"/>
    </row>
    <row r="931" spans="5:7">
      <c r="E931" s="157"/>
      <c r="F931" s="157"/>
      <c r="G931" s="457"/>
    </row>
    <row r="932" spans="5:7">
      <c r="E932" s="157"/>
      <c r="F932" s="157"/>
      <c r="G932" s="457"/>
    </row>
    <row r="933" spans="5:7">
      <c r="E933" s="157"/>
      <c r="F933" s="157"/>
      <c r="G933" s="457"/>
    </row>
    <row r="934" spans="5:7">
      <c r="E934" s="157"/>
      <c r="F934" s="157"/>
      <c r="G934" s="457"/>
    </row>
    <row r="935" spans="5:7">
      <c r="E935" s="157"/>
      <c r="F935" s="157"/>
      <c r="G935" s="457"/>
    </row>
    <row r="936" spans="5:7">
      <c r="E936" s="157"/>
      <c r="F936" s="157"/>
      <c r="G936" s="457"/>
    </row>
    <row r="937" spans="5:7">
      <c r="E937" s="157"/>
      <c r="F937" s="157"/>
      <c r="G937" s="457"/>
    </row>
    <row r="938" spans="5:7">
      <c r="E938" s="157"/>
      <c r="F938" s="157"/>
      <c r="G938" s="457"/>
    </row>
    <row r="939" spans="5:7">
      <c r="E939" s="157"/>
      <c r="F939" s="157"/>
      <c r="G939" s="457"/>
    </row>
    <row r="940" spans="5:7">
      <c r="E940" s="157"/>
      <c r="F940" s="157"/>
      <c r="G940" s="457"/>
    </row>
    <row r="941" spans="5:7">
      <c r="E941" s="157"/>
      <c r="F941" s="157"/>
      <c r="G941" s="457"/>
    </row>
    <row r="942" spans="5:7">
      <c r="E942" s="157"/>
      <c r="F942" s="157"/>
      <c r="G942" s="457"/>
    </row>
    <row r="943" spans="5:7">
      <c r="E943" s="157"/>
      <c r="F943" s="157"/>
      <c r="G943" s="457"/>
    </row>
    <row r="944" spans="5:7">
      <c r="E944" s="157"/>
      <c r="F944" s="157"/>
      <c r="G944" s="457"/>
    </row>
    <row r="945" spans="5:7">
      <c r="E945" s="157"/>
      <c r="F945" s="157"/>
      <c r="G945" s="457"/>
    </row>
    <row r="946" spans="5:7">
      <c r="E946" s="157"/>
      <c r="F946" s="157"/>
      <c r="G946" s="457"/>
    </row>
    <row r="947" spans="5:7">
      <c r="E947" s="157"/>
      <c r="F947" s="157"/>
      <c r="G947" s="457"/>
    </row>
    <row r="948" spans="5:7">
      <c r="E948" s="157"/>
      <c r="F948" s="157"/>
      <c r="G948" s="457"/>
    </row>
    <row r="949" spans="5:7">
      <c r="E949" s="157"/>
      <c r="F949" s="157"/>
      <c r="G949" s="457"/>
    </row>
    <row r="950" spans="5:7">
      <c r="E950" s="157"/>
      <c r="F950" s="157"/>
      <c r="G950" s="457"/>
    </row>
    <row r="951" spans="5:7">
      <c r="E951" s="157"/>
      <c r="F951" s="157"/>
      <c r="G951" s="457"/>
    </row>
    <row r="952" spans="5:7">
      <c r="E952" s="157"/>
      <c r="F952" s="157"/>
      <c r="G952" s="457"/>
    </row>
    <row r="953" spans="5:7">
      <c r="E953" s="157"/>
      <c r="F953" s="157"/>
      <c r="G953" s="457"/>
    </row>
    <row r="954" spans="5:7">
      <c r="E954" s="157"/>
      <c r="F954" s="157"/>
      <c r="G954" s="457"/>
    </row>
    <row r="955" spans="5:7">
      <c r="E955" s="157"/>
      <c r="F955" s="157"/>
      <c r="G955" s="457"/>
    </row>
    <row r="956" spans="5:7">
      <c r="E956" s="157"/>
      <c r="F956" s="157"/>
      <c r="G956" s="457"/>
    </row>
    <row r="957" spans="5:7">
      <c r="E957" s="157"/>
      <c r="F957" s="157"/>
      <c r="G957" s="457"/>
    </row>
    <row r="958" spans="5:7">
      <c r="E958" s="157"/>
      <c r="F958" s="157"/>
      <c r="G958" s="457"/>
    </row>
    <row r="959" spans="5:7">
      <c r="E959" s="157"/>
      <c r="F959" s="157"/>
      <c r="G959" s="457"/>
    </row>
    <row r="960" spans="5:7">
      <c r="E960" s="157"/>
      <c r="F960" s="157"/>
      <c r="G960" s="457"/>
    </row>
    <row r="961" spans="5:7">
      <c r="E961" s="157"/>
      <c r="F961" s="157"/>
      <c r="G961" s="457"/>
    </row>
    <row r="962" spans="5:7">
      <c r="E962" s="157"/>
      <c r="F962" s="157"/>
      <c r="G962" s="457"/>
    </row>
    <row r="963" spans="5:7">
      <c r="E963" s="157"/>
      <c r="F963" s="157"/>
      <c r="G963" s="457"/>
    </row>
    <row r="964" spans="5:7">
      <c r="E964" s="157"/>
      <c r="F964" s="157"/>
      <c r="G964" s="457"/>
    </row>
    <row r="965" spans="5:7">
      <c r="E965" s="157"/>
      <c r="F965" s="157"/>
      <c r="G965" s="457"/>
    </row>
    <row r="966" spans="5:7">
      <c r="E966" s="157"/>
      <c r="F966" s="157"/>
      <c r="G966" s="457"/>
    </row>
    <row r="967" spans="5:7">
      <c r="E967" s="157"/>
      <c r="F967" s="157"/>
      <c r="G967" s="457"/>
    </row>
    <row r="968" spans="5:7">
      <c r="E968" s="157"/>
      <c r="F968" s="157"/>
      <c r="G968" s="457"/>
    </row>
    <row r="969" spans="5:7">
      <c r="E969" s="157"/>
      <c r="F969" s="157"/>
      <c r="G969" s="457"/>
    </row>
    <row r="970" spans="5:7">
      <c r="E970" s="157"/>
      <c r="F970" s="157"/>
      <c r="G970" s="457"/>
    </row>
    <row r="971" spans="5:7">
      <c r="E971" s="157"/>
      <c r="F971" s="157"/>
      <c r="G971" s="457"/>
    </row>
    <row r="972" spans="5:7">
      <c r="E972" s="157"/>
      <c r="F972" s="157"/>
      <c r="G972" s="457"/>
    </row>
    <row r="973" spans="5:7">
      <c r="E973" s="157"/>
      <c r="F973" s="157"/>
      <c r="G973" s="457"/>
    </row>
    <row r="974" spans="5:7">
      <c r="E974" s="157"/>
      <c r="F974" s="157"/>
      <c r="G974" s="457"/>
    </row>
    <row r="975" spans="5:7">
      <c r="E975" s="157"/>
      <c r="F975" s="157"/>
      <c r="G975" s="457"/>
    </row>
    <row r="976" spans="5:7">
      <c r="E976" s="157"/>
      <c r="F976" s="157"/>
      <c r="G976" s="457"/>
    </row>
    <row r="977" spans="5:7">
      <c r="E977" s="157"/>
      <c r="F977" s="157"/>
      <c r="G977" s="457"/>
    </row>
    <row r="978" spans="5:7">
      <c r="E978" s="157"/>
      <c r="F978" s="157"/>
      <c r="G978" s="457"/>
    </row>
    <row r="979" spans="5:7">
      <c r="E979" s="157"/>
      <c r="F979" s="157"/>
      <c r="G979" s="457"/>
    </row>
    <row r="980" spans="5:7">
      <c r="E980" s="157"/>
      <c r="F980" s="157"/>
      <c r="G980" s="457"/>
    </row>
    <row r="981" spans="5:7">
      <c r="E981" s="157"/>
      <c r="F981" s="157"/>
      <c r="G981" s="457"/>
    </row>
    <row r="982" spans="5:7">
      <c r="E982" s="157"/>
      <c r="F982" s="157"/>
      <c r="G982" s="457"/>
    </row>
    <row r="983" spans="5:7">
      <c r="E983" s="157"/>
      <c r="F983" s="157"/>
      <c r="G983" s="457"/>
    </row>
    <row r="984" spans="5:7">
      <c r="E984" s="157"/>
      <c r="F984" s="157"/>
      <c r="G984" s="457"/>
    </row>
    <row r="985" spans="5:7">
      <c r="E985" s="157"/>
      <c r="F985" s="157"/>
      <c r="G985" s="457"/>
    </row>
    <row r="986" spans="5:7">
      <c r="E986" s="157"/>
      <c r="F986" s="157"/>
      <c r="G986" s="457"/>
    </row>
    <row r="987" spans="5:7">
      <c r="E987" s="157"/>
      <c r="F987" s="157"/>
      <c r="G987" s="457"/>
    </row>
    <row r="988" spans="5:7">
      <c r="E988" s="157"/>
      <c r="F988" s="157"/>
      <c r="G988" s="457"/>
    </row>
    <row r="989" spans="5:7">
      <c r="E989" s="157"/>
      <c r="F989" s="157"/>
      <c r="G989" s="457"/>
    </row>
    <row r="990" spans="5:7">
      <c r="E990" s="157"/>
      <c r="F990" s="157"/>
      <c r="G990" s="457"/>
    </row>
    <row r="991" spans="5:7">
      <c r="E991" s="157"/>
      <c r="F991" s="157"/>
      <c r="G991" s="457"/>
    </row>
    <row r="992" spans="5:7">
      <c r="E992" s="157"/>
      <c r="F992" s="157"/>
      <c r="G992" s="457"/>
    </row>
    <row r="993" spans="5:7">
      <c r="E993" s="157"/>
      <c r="F993" s="157"/>
      <c r="G993" s="457"/>
    </row>
    <row r="994" spans="5:7">
      <c r="E994" s="157"/>
      <c r="F994" s="157"/>
      <c r="G994" s="457"/>
    </row>
    <row r="995" spans="5:7">
      <c r="E995" s="157"/>
      <c r="F995" s="157"/>
      <c r="G995" s="457"/>
    </row>
    <row r="996" spans="5:7">
      <c r="E996" s="157"/>
      <c r="F996" s="157"/>
      <c r="G996" s="457"/>
    </row>
    <row r="997" spans="5:7">
      <c r="E997" s="157"/>
      <c r="F997" s="157"/>
      <c r="G997" s="457"/>
    </row>
    <row r="998" spans="5:7">
      <c r="E998" s="157"/>
      <c r="F998" s="157"/>
      <c r="G998" s="457"/>
    </row>
    <row r="999" spans="5:7">
      <c r="E999" s="157"/>
      <c r="F999" s="157"/>
      <c r="G999" s="457"/>
    </row>
    <row r="1000" spans="5:7">
      <c r="E1000" s="157"/>
      <c r="F1000" s="157"/>
      <c r="G1000" s="457"/>
    </row>
    <row r="1001" spans="5:7">
      <c r="E1001" s="157"/>
      <c r="F1001" s="157"/>
      <c r="G1001" s="457"/>
    </row>
    <row r="1002" spans="5:7">
      <c r="E1002" s="157"/>
      <c r="F1002" s="157"/>
      <c r="G1002" s="457"/>
    </row>
    <row r="1003" spans="5:7">
      <c r="E1003" s="157"/>
      <c r="F1003" s="157"/>
      <c r="G1003" s="457"/>
    </row>
    <row r="1004" spans="5:7">
      <c r="E1004" s="157"/>
      <c r="F1004" s="157"/>
      <c r="G1004" s="457"/>
    </row>
    <row r="1005" spans="5:7">
      <c r="E1005" s="157"/>
      <c r="F1005" s="157"/>
      <c r="G1005" s="457"/>
    </row>
    <row r="1006" spans="5:7">
      <c r="E1006" s="157"/>
      <c r="F1006" s="157"/>
      <c r="G1006" s="457"/>
    </row>
    <row r="1007" spans="5:7">
      <c r="E1007" s="157"/>
      <c r="F1007" s="157"/>
      <c r="G1007" s="457"/>
    </row>
    <row r="1008" spans="5:7">
      <c r="E1008" s="157"/>
      <c r="F1008" s="157"/>
      <c r="G1008" s="457"/>
    </row>
    <row r="1009" spans="5:7">
      <c r="E1009" s="157"/>
      <c r="F1009" s="157"/>
      <c r="G1009" s="457"/>
    </row>
    <row r="1010" spans="5:7">
      <c r="E1010" s="157"/>
      <c r="F1010" s="157"/>
      <c r="G1010" s="457"/>
    </row>
    <row r="1011" spans="5:7">
      <c r="E1011" s="157"/>
      <c r="F1011" s="157"/>
      <c r="G1011" s="457"/>
    </row>
    <row r="1012" spans="5:7">
      <c r="E1012" s="157"/>
      <c r="F1012" s="157"/>
      <c r="G1012" s="457"/>
    </row>
    <row r="1013" spans="5:7">
      <c r="E1013" s="157"/>
      <c r="F1013" s="157"/>
      <c r="G1013" s="457"/>
    </row>
    <row r="1014" spans="5:7">
      <c r="E1014" s="157"/>
      <c r="F1014" s="157"/>
      <c r="G1014" s="457"/>
    </row>
    <row r="1015" spans="5:7">
      <c r="E1015" s="157"/>
      <c r="F1015" s="157"/>
      <c r="G1015" s="457"/>
    </row>
    <row r="1016" spans="5:7">
      <c r="E1016" s="157"/>
      <c r="F1016" s="157"/>
      <c r="G1016" s="457"/>
    </row>
    <row r="1017" spans="5:7">
      <c r="E1017" s="157"/>
      <c r="F1017" s="157"/>
      <c r="G1017" s="457"/>
    </row>
    <row r="1018" spans="5:7">
      <c r="E1018" s="157"/>
      <c r="F1018" s="157"/>
      <c r="G1018" s="457"/>
    </row>
    <row r="1019" spans="5:7">
      <c r="E1019" s="157"/>
      <c r="F1019" s="157"/>
      <c r="G1019" s="457"/>
    </row>
    <row r="1020" spans="5:7">
      <c r="E1020" s="157"/>
      <c r="F1020" s="157"/>
      <c r="G1020" s="457"/>
    </row>
    <row r="1021" spans="5:7">
      <c r="E1021" s="157"/>
      <c r="F1021" s="157"/>
      <c r="G1021" s="457"/>
    </row>
    <row r="1022" spans="5:7">
      <c r="E1022" s="157"/>
      <c r="F1022" s="157"/>
      <c r="G1022" s="457"/>
    </row>
    <row r="1023" spans="5:7">
      <c r="E1023" s="157"/>
      <c r="F1023" s="157"/>
      <c r="G1023" s="457"/>
    </row>
    <row r="1024" spans="5:7">
      <c r="E1024" s="157"/>
      <c r="F1024" s="157"/>
      <c r="G1024" s="457"/>
    </row>
    <row r="1025" spans="5:7">
      <c r="E1025" s="157"/>
      <c r="F1025" s="157"/>
      <c r="G1025" s="457"/>
    </row>
    <row r="1026" spans="5:7">
      <c r="E1026" s="157"/>
      <c r="F1026" s="157"/>
      <c r="G1026" s="457"/>
    </row>
    <row r="1027" spans="5:7">
      <c r="E1027" s="157"/>
      <c r="F1027" s="157"/>
      <c r="G1027" s="457"/>
    </row>
    <row r="1028" spans="5:7">
      <c r="E1028" s="157"/>
      <c r="F1028" s="157"/>
      <c r="G1028" s="457"/>
    </row>
    <row r="1029" spans="5:7">
      <c r="E1029" s="157"/>
      <c r="F1029" s="157"/>
      <c r="G1029" s="457"/>
    </row>
    <row r="1030" spans="5:7">
      <c r="E1030" s="157"/>
      <c r="F1030" s="157"/>
      <c r="G1030" s="457"/>
    </row>
    <row r="1031" spans="5:7">
      <c r="E1031" s="157"/>
      <c r="F1031" s="157"/>
      <c r="G1031" s="457"/>
    </row>
    <row r="1032" spans="5:7">
      <c r="E1032" s="157"/>
      <c r="F1032" s="157"/>
      <c r="G1032" s="457"/>
    </row>
    <row r="1033" spans="5:7">
      <c r="E1033" s="157"/>
      <c r="F1033" s="157"/>
      <c r="G1033" s="457"/>
    </row>
    <row r="1034" spans="5:7">
      <c r="E1034" s="157"/>
      <c r="F1034" s="157"/>
      <c r="G1034" s="457"/>
    </row>
    <row r="1035" spans="5:7">
      <c r="E1035" s="157"/>
      <c r="F1035" s="157"/>
      <c r="G1035" s="457"/>
    </row>
    <row r="1036" spans="5:7">
      <c r="E1036" s="157"/>
      <c r="F1036" s="157"/>
      <c r="G1036" s="457"/>
    </row>
    <row r="1037" spans="5:7">
      <c r="E1037" s="157"/>
      <c r="F1037" s="157"/>
      <c r="G1037" s="457"/>
    </row>
    <row r="1038" spans="5:7">
      <c r="E1038" s="157"/>
      <c r="F1038" s="157"/>
      <c r="G1038" s="457"/>
    </row>
    <row r="1039" spans="5:7">
      <c r="E1039" s="157"/>
      <c r="F1039" s="157"/>
      <c r="G1039" s="457"/>
    </row>
    <row r="1040" spans="5:7">
      <c r="E1040" s="157"/>
      <c r="F1040" s="157"/>
      <c r="G1040" s="457"/>
    </row>
    <row r="1041" spans="5:7">
      <c r="E1041" s="157"/>
      <c r="F1041" s="157"/>
      <c r="G1041" s="457"/>
    </row>
    <row r="1042" spans="5:7">
      <c r="E1042" s="157"/>
      <c r="F1042" s="157"/>
      <c r="G1042" s="457"/>
    </row>
    <row r="1043" spans="5:7">
      <c r="E1043" s="157"/>
      <c r="F1043" s="157"/>
      <c r="G1043" s="457"/>
    </row>
    <row r="1044" spans="5:7">
      <c r="E1044" s="157"/>
      <c r="F1044" s="157"/>
      <c r="G1044" s="457"/>
    </row>
    <row r="1045" spans="5:7">
      <c r="E1045" s="157"/>
      <c r="F1045" s="157"/>
      <c r="G1045" s="457"/>
    </row>
    <row r="1046" spans="5:7">
      <c r="E1046" s="157"/>
      <c r="F1046" s="157"/>
      <c r="G1046" s="457"/>
    </row>
    <row r="1047" spans="5:7">
      <c r="E1047" s="157"/>
      <c r="F1047" s="157"/>
      <c r="G1047" s="457"/>
    </row>
    <row r="1048" spans="5:7">
      <c r="E1048" s="157"/>
      <c r="F1048" s="157"/>
      <c r="G1048" s="457"/>
    </row>
    <row r="1049" spans="5:7">
      <c r="E1049" s="157"/>
      <c r="F1049" s="157"/>
      <c r="G1049" s="457"/>
    </row>
    <row r="1050" spans="5:7">
      <c r="E1050" s="157"/>
      <c r="F1050" s="157"/>
      <c r="G1050" s="457"/>
    </row>
    <row r="1051" spans="5:7">
      <c r="E1051" s="157"/>
      <c r="F1051" s="157"/>
      <c r="G1051" s="457"/>
    </row>
    <row r="1052" spans="5:7">
      <c r="E1052" s="157"/>
      <c r="F1052" s="157"/>
      <c r="G1052" s="457"/>
    </row>
    <row r="1053" spans="5:7">
      <c r="E1053" s="157"/>
      <c r="F1053" s="157"/>
      <c r="G1053" s="457"/>
    </row>
    <row r="1054" spans="5:7">
      <c r="E1054" s="157"/>
      <c r="F1054" s="157"/>
      <c r="G1054" s="457"/>
    </row>
    <row r="1055" spans="5:7">
      <c r="E1055" s="157"/>
      <c r="F1055" s="157"/>
      <c r="G1055" s="457"/>
    </row>
    <row r="1056" spans="5:7">
      <c r="E1056" s="157"/>
      <c r="F1056" s="157"/>
      <c r="G1056" s="457"/>
    </row>
    <row r="1057" spans="5:7">
      <c r="E1057" s="157"/>
      <c r="F1057" s="157"/>
      <c r="G1057" s="457"/>
    </row>
    <row r="1058" spans="5:7">
      <c r="E1058" s="157"/>
      <c r="F1058" s="157"/>
      <c r="G1058" s="457"/>
    </row>
    <row r="1059" spans="5:7">
      <c r="E1059" s="157"/>
      <c r="F1059" s="157"/>
      <c r="G1059" s="457"/>
    </row>
    <row r="1060" spans="5:7">
      <c r="E1060" s="157"/>
      <c r="F1060" s="157"/>
      <c r="G1060" s="457"/>
    </row>
    <row r="1061" spans="5:7">
      <c r="E1061" s="157"/>
      <c r="F1061" s="157"/>
      <c r="G1061" s="457"/>
    </row>
    <row r="1062" spans="5:7">
      <c r="E1062" s="157"/>
      <c r="F1062" s="157"/>
      <c r="G1062" s="457"/>
    </row>
    <row r="1063" spans="5:7">
      <c r="E1063" s="157"/>
      <c r="F1063" s="157"/>
      <c r="G1063" s="457"/>
    </row>
    <row r="1064" spans="5:7">
      <c r="E1064" s="157"/>
      <c r="F1064" s="157"/>
      <c r="G1064" s="457"/>
    </row>
    <row r="1065" spans="5:7">
      <c r="E1065" s="157"/>
      <c r="F1065" s="157"/>
      <c r="G1065" s="457"/>
    </row>
    <row r="1066" spans="5:7">
      <c r="E1066" s="157"/>
      <c r="F1066" s="157"/>
      <c r="G1066" s="457"/>
    </row>
    <row r="1067" spans="5:7">
      <c r="E1067" s="157"/>
      <c r="F1067" s="157"/>
      <c r="G1067" s="457"/>
    </row>
    <row r="1068" spans="5:7">
      <c r="E1068" s="157"/>
      <c r="F1068" s="157"/>
      <c r="G1068" s="457"/>
    </row>
    <row r="1069" spans="5:7">
      <c r="E1069" s="157"/>
      <c r="F1069" s="157"/>
      <c r="G1069" s="457"/>
    </row>
    <row r="1070" spans="5:7">
      <c r="E1070" s="157"/>
      <c r="F1070" s="157"/>
      <c r="G1070" s="457"/>
    </row>
    <row r="1071" spans="5:7">
      <c r="E1071" s="157"/>
      <c r="F1071" s="157"/>
      <c r="G1071" s="457"/>
    </row>
    <row r="1072" spans="5:7">
      <c r="E1072" s="157"/>
      <c r="F1072" s="157"/>
      <c r="G1072" s="457"/>
    </row>
    <row r="1073" spans="5:7">
      <c r="E1073" s="157"/>
      <c r="F1073" s="157"/>
      <c r="G1073" s="457"/>
    </row>
    <row r="1074" spans="5:7">
      <c r="E1074" s="157"/>
      <c r="F1074" s="157"/>
      <c r="G1074" s="457"/>
    </row>
    <row r="1075" spans="5:7">
      <c r="E1075" s="157"/>
      <c r="F1075" s="157"/>
      <c r="G1075" s="457"/>
    </row>
    <row r="1076" spans="5:7">
      <c r="E1076" s="157"/>
      <c r="F1076" s="157"/>
      <c r="G1076" s="457"/>
    </row>
    <row r="1077" spans="5:7">
      <c r="E1077" s="157"/>
      <c r="F1077" s="157"/>
      <c r="G1077" s="457"/>
    </row>
    <row r="1078" spans="5:7">
      <c r="E1078" s="157"/>
      <c r="F1078" s="157"/>
      <c r="G1078" s="457"/>
    </row>
    <row r="1079" spans="5:7">
      <c r="E1079" s="157"/>
      <c r="F1079" s="157"/>
      <c r="G1079" s="457"/>
    </row>
    <row r="1080" spans="5:7">
      <c r="E1080" s="157"/>
      <c r="F1080" s="157"/>
      <c r="G1080" s="457"/>
    </row>
    <row r="1081" spans="5:7">
      <c r="E1081" s="157"/>
      <c r="F1081" s="157"/>
      <c r="G1081" s="457"/>
    </row>
    <row r="1082" spans="5:7">
      <c r="E1082" s="157"/>
      <c r="F1082" s="157"/>
      <c r="G1082" s="457"/>
    </row>
    <row r="1083" spans="5:7">
      <c r="E1083" s="157"/>
      <c r="F1083" s="157"/>
      <c r="G1083" s="457"/>
    </row>
    <row r="1084" spans="5:7">
      <c r="E1084" s="157"/>
      <c r="F1084" s="157"/>
      <c r="G1084" s="457"/>
    </row>
    <row r="1085" spans="5:7">
      <c r="E1085" s="157"/>
      <c r="F1085" s="157"/>
      <c r="G1085" s="457"/>
    </row>
    <row r="1086" spans="5:7">
      <c r="E1086" s="157"/>
      <c r="F1086" s="157"/>
      <c r="G1086" s="457"/>
    </row>
    <row r="1087" spans="5:7">
      <c r="E1087" s="157"/>
      <c r="F1087" s="157"/>
      <c r="G1087" s="457"/>
    </row>
    <row r="1088" spans="5:7">
      <c r="E1088" s="157"/>
      <c r="F1088" s="157"/>
      <c r="G1088" s="457"/>
    </row>
    <row r="1089" spans="5:7">
      <c r="E1089" s="157"/>
      <c r="F1089" s="157"/>
      <c r="G1089" s="457"/>
    </row>
    <row r="1090" spans="5:7">
      <c r="E1090" s="157"/>
      <c r="F1090" s="157"/>
      <c r="G1090" s="457"/>
    </row>
    <row r="1091" spans="5:7">
      <c r="E1091" s="157"/>
      <c r="F1091" s="157"/>
      <c r="G1091" s="457"/>
    </row>
    <row r="1092" spans="5:7">
      <c r="E1092" s="157"/>
      <c r="F1092" s="157"/>
      <c r="G1092" s="457"/>
    </row>
    <row r="1093" spans="5:7">
      <c r="E1093" s="157"/>
      <c r="F1093" s="157"/>
      <c r="G1093" s="457"/>
    </row>
    <row r="1094" spans="5:7">
      <c r="E1094" s="157"/>
      <c r="F1094" s="157"/>
      <c r="G1094" s="457"/>
    </row>
    <row r="1095" spans="5:7">
      <c r="E1095" s="157"/>
      <c r="F1095" s="157"/>
      <c r="G1095" s="457"/>
    </row>
    <row r="1096" spans="5:7">
      <c r="E1096" s="157"/>
      <c r="F1096" s="157"/>
      <c r="G1096" s="457"/>
    </row>
    <row r="1097" spans="5:7">
      <c r="E1097" s="157"/>
      <c r="F1097" s="157"/>
      <c r="G1097" s="457"/>
    </row>
    <row r="1098" spans="5:7">
      <c r="E1098" s="157"/>
      <c r="F1098" s="157"/>
      <c r="G1098" s="457"/>
    </row>
    <row r="1099" spans="5:7">
      <c r="E1099" s="157"/>
      <c r="F1099" s="157"/>
      <c r="G1099" s="457"/>
    </row>
    <row r="1100" spans="5:7">
      <c r="E1100" s="157"/>
      <c r="F1100" s="157"/>
      <c r="G1100" s="457"/>
    </row>
    <row r="1101" spans="5:7">
      <c r="E1101" s="157"/>
      <c r="F1101" s="157"/>
      <c r="G1101" s="457"/>
    </row>
    <row r="1102" spans="5:7">
      <c r="E1102" s="157"/>
      <c r="F1102" s="157"/>
      <c r="G1102" s="457"/>
    </row>
    <row r="1103" spans="5:7">
      <c r="E1103" s="157"/>
      <c r="F1103" s="157"/>
      <c r="G1103" s="457"/>
    </row>
    <row r="1104" spans="5:7">
      <c r="E1104" s="157"/>
      <c r="F1104" s="157"/>
      <c r="G1104" s="457"/>
    </row>
    <row r="1105" spans="5:7">
      <c r="E1105" s="157"/>
      <c r="F1105" s="157"/>
      <c r="G1105" s="457"/>
    </row>
    <row r="1106" spans="5:7">
      <c r="E1106" s="157"/>
      <c r="F1106" s="157"/>
      <c r="G1106" s="457"/>
    </row>
    <row r="1107" spans="5:7">
      <c r="E1107" s="157"/>
      <c r="F1107" s="157"/>
      <c r="G1107" s="457"/>
    </row>
    <row r="1108" spans="5:7">
      <c r="E1108" s="157"/>
      <c r="F1108" s="157"/>
      <c r="G1108" s="457"/>
    </row>
    <row r="1109" spans="5:7">
      <c r="E1109" s="157"/>
      <c r="F1109" s="157"/>
      <c r="G1109" s="457"/>
    </row>
    <row r="1110" spans="5:7">
      <c r="E1110" s="157"/>
      <c r="F1110" s="157"/>
      <c r="G1110" s="457"/>
    </row>
    <row r="1111" spans="5:7">
      <c r="E1111" s="157"/>
      <c r="F1111" s="157"/>
      <c r="G1111" s="457"/>
    </row>
    <row r="1112" spans="5:7">
      <c r="E1112" s="157"/>
      <c r="F1112" s="157"/>
      <c r="G1112" s="457"/>
    </row>
    <row r="1113" spans="5:7">
      <c r="E1113" s="157"/>
      <c r="F1113" s="157"/>
      <c r="G1113" s="457"/>
    </row>
    <row r="1114" spans="5:7">
      <c r="E1114" s="157"/>
      <c r="F1114" s="157"/>
      <c r="G1114" s="457"/>
    </row>
    <row r="1115" spans="5:7">
      <c r="E1115" s="157"/>
      <c r="F1115" s="157"/>
      <c r="G1115" s="457"/>
    </row>
    <row r="1116" spans="5:7">
      <c r="E1116" s="157"/>
      <c r="F1116" s="157"/>
      <c r="G1116" s="457"/>
    </row>
    <row r="1117" spans="5:7">
      <c r="E1117" s="157"/>
      <c r="F1117" s="157"/>
      <c r="G1117" s="457"/>
    </row>
    <row r="1118" spans="5:7">
      <c r="E1118" s="157"/>
      <c r="F1118" s="157"/>
      <c r="G1118" s="457"/>
    </row>
    <row r="1119" spans="5:7">
      <c r="E1119" s="157"/>
      <c r="F1119" s="157"/>
      <c r="G1119" s="457"/>
    </row>
    <row r="1120" spans="5:7">
      <c r="E1120" s="157"/>
      <c r="F1120" s="157"/>
      <c r="G1120" s="457"/>
    </row>
    <row r="1121" spans="5:7">
      <c r="E1121" s="157"/>
      <c r="F1121" s="157"/>
      <c r="G1121" s="457"/>
    </row>
    <row r="1122" spans="5:7">
      <c r="E1122" s="157"/>
      <c r="F1122" s="157"/>
      <c r="G1122" s="457"/>
    </row>
    <row r="1123" spans="5:7">
      <c r="E1123" s="157"/>
      <c r="F1123" s="157"/>
      <c r="G1123" s="457"/>
    </row>
    <row r="1124" spans="5:7">
      <c r="E1124" s="157"/>
      <c r="F1124" s="157"/>
      <c r="G1124" s="457"/>
    </row>
    <row r="1125" spans="5:7">
      <c r="E1125" s="157"/>
      <c r="F1125" s="157"/>
      <c r="G1125" s="457"/>
    </row>
    <row r="1126" spans="5:7">
      <c r="E1126" s="157"/>
      <c r="F1126" s="157"/>
      <c r="G1126" s="457"/>
    </row>
    <row r="1127" spans="5:7">
      <c r="E1127" s="157"/>
      <c r="F1127" s="157"/>
      <c r="G1127" s="457"/>
    </row>
    <row r="1128" spans="5:7">
      <c r="E1128" s="157"/>
      <c r="F1128" s="157"/>
      <c r="G1128" s="457"/>
    </row>
    <row r="1129" spans="5:7">
      <c r="E1129" s="157"/>
      <c r="F1129" s="157"/>
      <c r="G1129" s="457"/>
    </row>
    <row r="1130" spans="5:7">
      <c r="E1130" s="157"/>
      <c r="F1130" s="157"/>
      <c r="G1130" s="457"/>
    </row>
    <row r="1131" spans="5:7">
      <c r="E1131" s="157"/>
      <c r="F1131" s="157"/>
      <c r="G1131" s="457"/>
    </row>
    <row r="1132" spans="5:7">
      <c r="E1132" s="157"/>
      <c r="F1132" s="157"/>
      <c r="G1132" s="457"/>
    </row>
    <row r="1133" spans="5:7">
      <c r="E1133" s="157"/>
      <c r="F1133" s="157"/>
      <c r="G1133" s="457"/>
    </row>
    <row r="1134" spans="5:7">
      <c r="E1134" s="157"/>
      <c r="F1134" s="157"/>
      <c r="G1134" s="457"/>
    </row>
    <row r="1135" spans="5:7">
      <c r="E1135" s="157"/>
      <c r="F1135" s="157"/>
      <c r="G1135" s="457"/>
    </row>
    <row r="1136" spans="5:7">
      <c r="E1136" s="157"/>
      <c r="F1136" s="157"/>
      <c r="G1136" s="457"/>
    </row>
    <row r="1137" spans="5:7">
      <c r="E1137" s="157"/>
      <c r="F1137" s="157"/>
      <c r="G1137" s="457"/>
    </row>
    <row r="1138" spans="5:7">
      <c r="E1138" s="157"/>
      <c r="F1138" s="157"/>
      <c r="G1138" s="457"/>
    </row>
    <row r="1139" spans="5:7">
      <c r="E1139" s="157"/>
      <c r="F1139" s="157"/>
      <c r="G1139" s="457"/>
    </row>
    <row r="1140" spans="5:7">
      <c r="E1140" s="157"/>
      <c r="F1140" s="157"/>
      <c r="G1140" s="457"/>
    </row>
    <row r="1141" spans="5:7">
      <c r="E1141" s="157"/>
      <c r="F1141" s="157"/>
      <c r="G1141" s="457"/>
    </row>
    <row r="1142" spans="5:7">
      <c r="E1142" s="157"/>
      <c r="F1142" s="157"/>
      <c r="G1142" s="457"/>
    </row>
    <row r="1143" spans="5:7">
      <c r="E1143" s="157"/>
      <c r="F1143" s="157"/>
      <c r="G1143" s="457"/>
    </row>
    <row r="1144" spans="5:7">
      <c r="E1144" s="157"/>
      <c r="F1144" s="157"/>
      <c r="G1144" s="457"/>
    </row>
    <row r="1145" spans="5:7">
      <c r="E1145" s="157"/>
      <c r="F1145" s="157"/>
      <c r="G1145" s="457"/>
    </row>
    <row r="1146" spans="5:7">
      <c r="E1146" s="157"/>
      <c r="F1146" s="157"/>
      <c r="G1146" s="457"/>
    </row>
    <row r="1147" spans="5:7">
      <c r="E1147" s="157"/>
      <c r="F1147" s="157"/>
      <c r="G1147" s="457"/>
    </row>
    <row r="1148" spans="5:7">
      <c r="E1148" s="157"/>
      <c r="F1148" s="157"/>
      <c r="G1148" s="457"/>
    </row>
    <row r="1149" spans="5:7">
      <c r="E1149" s="157"/>
      <c r="F1149" s="157"/>
      <c r="G1149" s="457"/>
    </row>
    <row r="1150" spans="5:7">
      <c r="E1150" s="157"/>
      <c r="F1150" s="157"/>
      <c r="G1150" s="457"/>
    </row>
    <row r="1151" spans="5:7">
      <c r="E1151" s="157"/>
      <c r="F1151" s="157"/>
      <c r="G1151" s="457"/>
    </row>
    <row r="1152" spans="5:7">
      <c r="E1152" s="157"/>
      <c r="F1152" s="157"/>
      <c r="G1152" s="457"/>
    </row>
    <row r="1153" spans="5:7">
      <c r="E1153" s="157"/>
      <c r="F1153" s="157"/>
      <c r="G1153" s="457"/>
    </row>
    <row r="1154" spans="5:7">
      <c r="E1154" s="157"/>
      <c r="F1154" s="157"/>
      <c r="G1154" s="457"/>
    </row>
    <row r="1155" spans="5:7">
      <c r="E1155" s="157"/>
      <c r="F1155" s="157"/>
      <c r="G1155" s="457"/>
    </row>
    <row r="1156" spans="5:7">
      <c r="E1156" s="157"/>
      <c r="F1156" s="157"/>
      <c r="G1156" s="457"/>
    </row>
    <row r="1157" spans="5:7">
      <c r="E1157" s="157"/>
      <c r="F1157" s="157"/>
      <c r="G1157" s="457"/>
    </row>
    <row r="1158" spans="5:7">
      <c r="E1158" s="157"/>
      <c r="F1158" s="157"/>
      <c r="G1158" s="457"/>
    </row>
    <row r="1159" spans="5:7">
      <c r="E1159" s="157"/>
      <c r="F1159" s="157"/>
      <c r="G1159" s="457"/>
    </row>
    <row r="1160" spans="5:7">
      <c r="E1160" s="157"/>
      <c r="F1160" s="157"/>
      <c r="G1160" s="457"/>
    </row>
    <row r="1161" spans="5:7">
      <c r="E1161" s="157"/>
      <c r="F1161" s="157"/>
      <c r="G1161" s="457"/>
    </row>
    <row r="1162" spans="5:7">
      <c r="E1162" s="157"/>
      <c r="F1162" s="157"/>
      <c r="G1162" s="457"/>
    </row>
    <row r="1163" spans="5:7">
      <c r="E1163" s="157"/>
      <c r="F1163" s="157"/>
      <c r="G1163" s="457"/>
    </row>
    <row r="1164" spans="5:7">
      <c r="E1164" s="157"/>
      <c r="F1164" s="157"/>
      <c r="G1164" s="457"/>
    </row>
    <row r="1165" spans="5:7">
      <c r="E1165" s="157"/>
      <c r="F1165" s="157"/>
      <c r="G1165" s="457"/>
    </row>
    <row r="1166" spans="5:7">
      <c r="E1166" s="157"/>
      <c r="F1166" s="157"/>
      <c r="G1166" s="457"/>
    </row>
    <row r="1167" spans="5:7">
      <c r="E1167" s="157"/>
      <c r="F1167" s="157"/>
      <c r="G1167" s="457"/>
    </row>
    <row r="1168" spans="5:7">
      <c r="E1168" s="157"/>
      <c r="F1168" s="157"/>
      <c r="G1168" s="457"/>
    </row>
    <row r="1169" spans="5:7">
      <c r="E1169" s="157"/>
      <c r="F1169" s="157"/>
      <c r="G1169" s="457"/>
    </row>
    <row r="1170" spans="5:7">
      <c r="E1170" s="157"/>
      <c r="F1170" s="157"/>
      <c r="G1170" s="457"/>
    </row>
    <row r="1171" spans="5:7">
      <c r="E1171" s="157"/>
      <c r="F1171" s="157"/>
      <c r="G1171" s="457"/>
    </row>
    <row r="1172" spans="5:7">
      <c r="E1172" s="157"/>
      <c r="F1172" s="157"/>
      <c r="G1172" s="457"/>
    </row>
    <row r="1173" spans="5:7">
      <c r="E1173" s="157"/>
      <c r="F1173" s="157"/>
      <c r="G1173" s="457"/>
    </row>
    <row r="1174" spans="5:7">
      <c r="E1174" s="157"/>
      <c r="F1174" s="157"/>
      <c r="G1174" s="457"/>
    </row>
    <row r="1175" spans="5:7">
      <c r="E1175" s="157"/>
      <c r="F1175" s="157"/>
      <c r="G1175" s="457"/>
    </row>
    <row r="1176" spans="5:7">
      <c r="E1176" s="157"/>
      <c r="F1176" s="157"/>
      <c r="G1176" s="457"/>
    </row>
    <row r="1177" spans="5:7">
      <c r="E1177" s="157"/>
      <c r="F1177" s="157"/>
      <c r="G1177" s="457"/>
    </row>
    <row r="1178" spans="5:7">
      <c r="E1178" s="157"/>
      <c r="F1178" s="157"/>
      <c r="G1178" s="457"/>
    </row>
    <row r="1179" spans="5:7">
      <c r="E1179" s="157"/>
      <c r="F1179" s="157"/>
      <c r="G1179" s="457"/>
    </row>
    <row r="1180" spans="5:7">
      <c r="E1180" s="157"/>
      <c r="F1180" s="157"/>
      <c r="G1180" s="457"/>
    </row>
    <row r="1181" spans="5:7">
      <c r="E1181" s="157"/>
      <c r="F1181" s="157"/>
      <c r="G1181" s="457"/>
    </row>
    <row r="1182" spans="5:7">
      <c r="E1182" s="157"/>
      <c r="F1182" s="157"/>
      <c r="G1182" s="457"/>
    </row>
    <row r="1183" spans="5:7">
      <c r="E1183" s="157"/>
      <c r="F1183" s="157"/>
      <c r="G1183" s="457"/>
    </row>
    <row r="1184" spans="5:7">
      <c r="E1184" s="157"/>
      <c r="F1184" s="157"/>
      <c r="G1184" s="457"/>
    </row>
    <row r="1185" spans="5:7">
      <c r="E1185" s="157"/>
      <c r="F1185" s="157"/>
      <c r="G1185" s="457"/>
    </row>
    <row r="1186" spans="5:7">
      <c r="E1186" s="157"/>
      <c r="F1186" s="157"/>
      <c r="G1186" s="457"/>
    </row>
    <row r="1187" spans="5:7">
      <c r="E1187" s="157"/>
      <c r="F1187" s="157"/>
      <c r="G1187" s="457"/>
    </row>
    <row r="1188" spans="5:7">
      <c r="E1188" s="157"/>
      <c r="F1188" s="157"/>
      <c r="G1188" s="457"/>
    </row>
    <row r="1189" spans="5:7">
      <c r="E1189" s="157"/>
      <c r="F1189" s="157"/>
      <c r="G1189" s="457"/>
    </row>
    <row r="1190" spans="5:7">
      <c r="E1190" s="157"/>
      <c r="F1190" s="157"/>
      <c r="G1190" s="457"/>
    </row>
    <row r="1191" spans="5:7">
      <c r="E1191" s="157"/>
      <c r="F1191" s="157"/>
      <c r="G1191" s="457"/>
    </row>
    <row r="1192" spans="5:7">
      <c r="E1192" s="157"/>
      <c r="F1192" s="157"/>
      <c r="G1192" s="457"/>
    </row>
    <row r="1193" spans="5:7">
      <c r="E1193" s="157"/>
      <c r="F1193" s="157"/>
      <c r="G1193" s="457"/>
    </row>
    <row r="1194" spans="5:7">
      <c r="E1194" s="157"/>
      <c r="F1194" s="157"/>
      <c r="G1194" s="457"/>
    </row>
    <row r="1195" spans="5:7">
      <c r="E1195" s="157"/>
      <c r="F1195" s="157"/>
      <c r="G1195" s="457"/>
    </row>
    <row r="1196" spans="5:7">
      <c r="E1196" s="157"/>
      <c r="F1196" s="157"/>
      <c r="G1196" s="457"/>
    </row>
    <row r="1197" spans="5:7">
      <c r="E1197" s="157"/>
      <c r="F1197" s="157"/>
      <c r="G1197" s="457"/>
    </row>
    <row r="1198" spans="5:7">
      <c r="E1198" s="157"/>
      <c r="F1198" s="157"/>
      <c r="G1198" s="457"/>
    </row>
    <row r="1199" spans="5:7">
      <c r="E1199" s="157"/>
      <c r="F1199" s="157"/>
      <c r="G1199" s="457"/>
    </row>
    <row r="1200" spans="5:7">
      <c r="E1200" s="157"/>
      <c r="F1200" s="157"/>
      <c r="G1200" s="457"/>
    </row>
    <row r="1201" spans="5:7">
      <c r="E1201" s="157"/>
      <c r="F1201" s="157"/>
      <c r="G1201" s="457"/>
    </row>
    <row r="1202" spans="5:7">
      <c r="E1202" s="157"/>
      <c r="F1202" s="157"/>
      <c r="G1202" s="457"/>
    </row>
    <row r="1203" spans="5:7">
      <c r="E1203" s="157"/>
      <c r="F1203" s="157"/>
      <c r="G1203" s="457"/>
    </row>
    <row r="1204" spans="5:7">
      <c r="E1204" s="157"/>
      <c r="F1204" s="157"/>
      <c r="G1204" s="457"/>
    </row>
    <row r="1205" spans="5:7">
      <c r="E1205" s="157"/>
      <c r="F1205" s="157"/>
      <c r="G1205" s="457"/>
    </row>
    <row r="1206" spans="5:7">
      <c r="E1206" s="157"/>
      <c r="F1206" s="157"/>
      <c r="G1206" s="457"/>
    </row>
    <row r="1207" spans="5:7">
      <c r="E1207" s="157"/>
      <c r="F1207" s="157"/>
      <c r="G1207" s="457"/>
    </row>
    <row r="1208" spans="5:7">
      <c r="E1208" s="157"/>
      <c r="F1208" s="157"/>
      <c r="G1208" s="457"/>
    </row>
    <row r="1209" spans="5:7">
      <c r="E1209" s="157"/>
      <c r="F1209" s="157"/>
      <c r="G1209" s="457"/>
    </row>
    <row r="1210" spans="5:7">
      <c r="E1210" s="157"/>
      <c r="F1210" s="157"/>
      <c r="G1210" s="457"/>
    </row>
    <row r="1211" spans="5:7">
      <c r="E1211" s="157"/>
      <c r="F1211" s="157"/>
      <c r="G1211" s="457"/>
    </row>
    <row r="1212" spans="5:7">
      <c r="E1212" s="157"/>
      <c r="F1212" s="157"/>
      <c r="G1212" s="457"/>
    </row>
    <row r="1213" spans="5:7">
      <c r="E1213" s="157"/>
      <c r="F1213" s="157"/>
      <c r="G1213" s="457"/>
    </row>
    <row r="1214" spans="5:7">
      <c r="E1214" s="157"/>
      <c r="F1214" s="157"/>
      <c r="G1214" s="457"/>
    </row>
    <row r="1215" spans="5:7">
      <c r="E1215" s="157"/>
      <c r="F1215" s="157"/>
      <c r="G1215" s="457"/>
    </row>
    <row r="1216" spans="5:7">
      <c r="E1216" s="157"/>
      <c r="F1216" s="157"/>
      <c r="G1216" s="457"/>
    </row>
    <row r="1217" spans="5:7">
      <c r="E1217" s="157"/>
      <c r="F1217" s="157"/>
      <c r="G1217" s="457"/>
    </row>
    <row r="1218" spans="5:7">
      <c r="E1218" s="157"/>
      <c r="F1218" s="157"/>
      <c r="G1218" s="457"/>
    </row>
    <row r="1219" spans="5:7">
      <c r="E1219" s="157"/>
      <c r="F1219" s="157"/>
      <c r="G1219" s="457"/>
    </row>
    <row r="1220" spans="5:7">
      <c r="E1220" s="157"/>
      <c r="F1220" s="157"/>
      <c r="G1220" s="457"/>
    </row>
  </sheetData>
  <mergeCells count="111">
    <mergeCell ref="H111:H119"/>
    <mergeCell ref="C21:D21"/>
    <mergeCell ref="B144:G144"/>
    <mergeCell ref="A14:A17"/>
    <mergeCell ref="B91:D91"/>
    <mergeCell ref="B30:C30"/>
    <mergeCell ref="C114:C116"/>
    <mergeCell ref="B22:D22"/>
    <mergeCell ref="B12:D12"/>
    <mergeCell ref="B77:D77"/>
    <mergeCell ref="B86:D86"/>
    <mergeCell ref="A59:E59"/>
    <mergeCell ref="B38:D38"/>
    <mergeCell ref="F28:H28"/>
    <mergeCell ref="B143:G143"/>
    <mergeCell ref="B55:D55"/>
    <mergeCell ref="A33:A36"/>
    <mergeCell ref="B24:D24"/>
    <mergeCell ref="A27:E27"/>
    <mergeCell ref="B64:D64"/>
    <mergeCell ref="B89:D89"/>
    <mergeCell ref="B106:B108"/>
    <mergeCell ref="B104:D104"/>
    <mergeCell ref="A42:A43"/>
    <mergeCell ref="A1:G1"/>
    <mergeCell ref="B29:C29"/>
    <mergeCell ref="B76:D76"/>
    <mergeCell ref="B45:D45"/>
    <mergeCell ref="B85:D85"/>
    <mergeCell ref="G104:G105"/>
    <mergeCell ref="C120:C123"/>
    <mergeCell ref="B138:G138"/>
    <mergeCell ref="B109:D109"/>
    <mergeCell ref="A81:E81"/>
    <mergeCell ref="B31:D31"/>
    <mergeCell ref="C117:C119"/>
    <mergeCell ref="B39:D39"/>
    <mergeCell ref="E33:E36"/>
    <mergeCell ref="C68:D68"/>
    <mergeCell ref="B23:D23"/>
    <mergeCell ref="B13:D13"/>
    <mergeCell ref="B78:D78"/>
    <mergeCell ref="C20:D20"/>
    <mergeCell ref="C111:C113"/>
    <mergeCell ref="E47:E49"/>
    <mergeCell ref="B95:B103"/>
    <mergeCell ref="A18:E18"/>
    <mergeCell ref="B51:D51"/>
    <mergeCell ref="A2:D2"/>
    <mergeCell ref="A95:A110"/>
    <mergeCell ref="C83:D83"/>
    <mergeCell ref="A48:A49"/>
    <mergeCell ref="B73:D73"/>
    <mergeCell ref="B88:D88"/>
    <mergeCell ref="B82:D82"/>
    <mergeCell ref="B120:B123"/>
    <mergeCell ref="B10:D10"/>
    <mergeCell ref="A93:G93"/>
    <mergeCell ref="C106:C108"/>
    <mergeCell ref="A65:A66"/>
    <mergeCell ref="B19:D19"/>
    <mergeCell ref="B9:D9"/>
    <mergeCell ref="B74:D74"/>
    <mergeCell ref="C98:C100"/>
    <mergeCell ref="G111:G113"/>
    <mergeCell ref="B79:D79"/>
    <mergeCell ref="B14:D17"/>
    <mergeCell ref="G117:G119"/>
    <mergeCell ref="B26:D26"/>
    <mergeCell ref="A8:E8"/>
    <mergeCell ref="B90:D90"/>
    <mergeCell ref="B3:D3"/>
    <mergeCell ref="B6:D6"/>
    <mergeCell ref="B139:G139"/>
    <mergeCell ref="C101:C103"/>
    <mergeCell ref="E40:E43"/>
    <mergeCell ref="B69:C69"/>
    <mergeCell ref="B4:D4"/>
    <mergeCell ref="B62:D62"/>
    <mergeCell ref="B136:E136"/>
    <mergeCell ref="B125:D125"/>
    <mergeCell ref="B47:D49"/>
    <mergeCell ref="B72:D72"/>
    <mergeCell ref="C67:D67"/>
    <mergeCell ref="A52:E52"/>
    <mergeCell ref="B70:D70"/>
    <mergeCell ref="B105:D105"/>
    <mergeCell ref="A133:E133"/>
    <mergeCell ref="A126:E126"/>
    <mergeCell ref="B71:D71"/>
    <mergeCell ref="B111:B119"/>
    <mergeCell ref="C87:D87"/>
    <mergeCell ref="B11:D11"/>
    <mergeCell ref="E14:E17"/>
    <mergeCell ref="A37:E37"/>
    <mergeCell ref="B145:G145"/>
    <mergeCell ref="G114:G116"/>
    <mergeCell ref="C95:C97"/>
    <mergeCell ref="B53:D53"/>
    <mergeCell ref="B44:D44"/>
    <mergeCell ref="G120:G123"/>
    <mergeCell ref="B147:G147"/>
    <mergeCell ref="B146:G146"/>
    <mergeCell ref="B84:D84"/>
    <mergeCell ref="A137:E137"/>
    <mergeCell ref="B92:D92"/>
    <mergeCell ref="A46:E46"/>
    <mergeCell ref="B141:G141"/>
    <mergeCell ref="A111:A125"/>
    <mergeCell ref="B140:G140"/>
    <mergeCell ref="B142:G142"/>
  </mergeCells>
  <conditionalFormatting sqref="E3:E7 E9:E14 E19:E26 E28:E33 E38:E40 E44:E45 E47 E50:E51 E53:E58 E60:E80 E82:E92 E94:E125 E127:E132 E134:E135 E148:E1048576">
    <cfRule type="containsText" dxfId="16" priority="7" operator="containsText" text="!">
      <formula>NOT(ISERROR(SEARCH("!",E3)))</formula>
    </cfRule>
    <cfRule type="containsText" dxfId="15" priority="8" operator="containsText" text="?">
      <formula>NOT(ISERROR(SEARCH("?",E3)))</formula>
    </cfRule>
  </conditionalFormatting>
  <conditionalFormatting sqref="B56:B57 E1 E3:E7 E9:E14 E19:E26 E28:E33 E38:E40 E44:E45 E47 E50:E51 E53:E58 E60:E80 E82:E125 E127:E132 E134:E135 E148:E1048576">
    <cfRule type="containsText" dxfId="14" priority="5" operator="containsText" text="x">
      <formula>NOT(ISERROR(SEARCH("x",B1)))</formula>
    </cfRule>
  </conditionalFormatting>
  <conditionalFormatting sqref="C134">
    <cfRule type="containsText" dxfId="13" priority="1" operator="containsText" text="x">
      <formula>NOT(ISERROR(SEARCH("x",C134)))</formula>
    </cfRule>
    <cfRule type="containsText" dxfId="12" priority="3" operator="containsText" text="!">
      <formula>NOT(ISERROR(SEARCH("!",C134)))</formula>
    </cfRule>
    <cfRule type="containsText" dxfId="11" priority="4" operator="containsText" text="?">
      <formula>NOT(ISERROR(SEARCH("?",C134)))</formula>
    </cfRule>
  </conditionalFormatting>
  <dataValidations count="1">
    <dataValidation allowBlank="1" sqref="A14:B14" xr:uid="{A1DF2D80-49C4-4DF4-AC2E-A4D8C65380A2}"/>
  </dataValidations>
  <pageMargins left="0.7" right="0.7" top="0.78740157499999996" bottom="0.78740157499999996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autoFill="0" autoLine="0" autoPict="0">
                <anchor moveWithCells="1">
                  <from>
                    <xdr:col>2</xdr:col>
                    <xdr:colOff>9525</xdr:colOff>
                    <xdr:row>46</xdr:row>
                    <xdr:rowOff>180975</xdr:rowOff>
                  </from>
                  <to>
                    <xdr:col>2</xdr:col>
                    <xdr:colOff>1104900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46</xdr:row>
                    <xdr:rowOff>9525</xdr:rowOff>
                  </from>
                  <to>
                    <xdr:col>1</xdr:col>
                    <xdr:colOff>1762125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46</xdr:row>
                    <xdr:rowOff>0</xdr:rowOff>
                  </from>
                  <to>
                    <xdr:col>3</xdr:col>
                    <xdr:colOff>323850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Check Box 9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180975</xdr:rowOff>
                  </from>
                  <to>
                    <xdr:col>1</xdr:col>
                    <xdr:colOff>542925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Check Box 10">
              <controlPr locked="0" defaultSize="0" autoFill="0" autoLine="0" autoPict="0">
                <anchor moveWithCells="1">
                  <from>
                    <xdr:col>1</xdr:col>
                    <xdr:colOff>1057275</xdr:colOff>
                    <xdr:row>4</xdr:row>
                    <xdr:rowOff>9525</xdr:rowOff>
                  </from>
                  <to>
                    <xdr:col>1</xdr:col>
                    <xdr:colOff>1752600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Check Box 11">
              <controlPr locked="0" defaultSize="0" autoFill="0" autoLine="0" autoPict="0">
                <anchor moveWithCells="1">
                  <from>
                    <xdr:col>1</xdr:col>
                    <xdr:colOff>542925</xdr:colOff>
                    <xdr:row>3</xdr:row>
                    <xdr:rowOff>180975</xdr:rowOff>
                  </from>
                  <to>
                    <xdr:col>1</xdr:col>
                    <xdr:colOff>1095375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9" name="Check Box 12">
              <controlPr defaultSize="0" autoFill="0" autoLine="0" autoPict="0">
                <anchor moveWithCells="1">
                  <from>
                    <xdr:col>1</xdr:col>
                    <xdr:colOff>76200</xdr:colOff>
                    <xdr:row>50</xdr:row>
                    <xdr:rowOff>0</xdr:rowOff>
                  </from>
                  <to>
                    <xdr:col>1</xdr:col>
                    <xdr:colOff>561975</xdr:colOff>
                    <xdr:row>50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0" name="Check Box 13">
              <controlPr defaultSize="0" autoFill="0" autoLine="0" autoPict="0">
                <anchor moveWithCells="1">
                  <from>
                    <xdr:col>1</xdr:col>
                    <xdr:colOff>666750</xdr:colOff>
                    <xdr:row>50</xdr:row>
                    <xdr:rowOff>0</xdr:rowOff>
                  </from>
                  <to>
                    <xdr:col>1</xdr:col>
                    <xdr:colOff>1181100</xdr:colOff>
                    <xdr:row>50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1" name="Check Box 14">
              <controlPr defaultSize="0" autoFill="0" autoLine="0" autoPict="0">
                <anchor moveWithCells="1">
                  <from>
                    <xdr:col>1</xdr:col>
                    <xdr:colOff>1266825</xdr:colOff>
                    <xdr:row>50</xdr:row>
                    <xdr:rowOff>0</xdr:rowOff>
                  </from>
                  <to>
                    <xdr:col>1</xdr:col>
                    <xdr:colOff>1924050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2" name="Check Box 15">
              <controlPr defaultSize="0" autoFill="0" autoLine="0" autoPict="0">
                <anchor moveWithCells="1">
                  <from>
                    <xdr:col>2</xdr:col>
                    <xdr:colOff>704850</xdr:colOff>
                    <xdr:row>50</xdr:row>
                    <xdr:rowOff>0</xdr:rowOff>
                  </from>
                  <to>
                    <xdr:col>2</xdr:col>
                    <xdr:colOff>1257300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3" name="Check Box 18">
              <controlPr defaultSize="0" autoFill="0" autoLine="0" autoPict="0">
                <anchor moveWithCells="1">
                  <from>
                    <xdr:col>2</xdr:col>
                    <xdr:colOff>19050</xdr:colOff>
                    <xdr:row>13</xdr:row>
                    <xdr:rowOff>180975</xdr:rowOff>
                  </from>
                  <to>
                    <xdr:col>2</xdr:col>
                    <xdr:colOff>1114425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4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171450</xdr:rowOff>
                  </from>
                  <to>
                    <xdr:col>3</xdr:col>
                    <xdr:colOff>1095375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5" name="Check Box 20">
              <controlPr defaultSize="0" autoFill="0" autoLine="0" autoPict="0">
                <anchor moveWithCells="1">
                  <from>
                    <xdr:col>2</xdr:col>
                    <xdr:colOff>19050</xdr:colOff>
                    <xdr:row>14</xdr:row>
                    <xdr:rowOff>171450</xdr:rowOff>
                  </from>
                  <to>
                    <xdr:col>2</xdr:col>
                    <xdr:colOff>1114425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6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161925</xdr:rowOff>
                  </from>
                  <to>
                    <xdr:col>3</xdr:col>
                    <xdr:colOff>1095375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7" name="Check Box 22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9525</xdr:rowOff>
                  </from>
                  <to>
                    <xdr:col>1</xdr:col>
                    <xdr:colOff>1771650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8" name="Check Box 23">
              <controlPr defaultSize="0" autoFill="0" autoLine="0" autoPict="0">
                <anchor moveWithCells="1">
                  <from>
                    <xdr:col>2</xdr:col>
                    <xdr:colOff>19050</xdr:colOff>
                    <xdr:row>13</xdr:row>
                    <xdr:rowOff>0</xdr:rowOff>
                  </from>
                  <to>
                    <xdr:col>2</xdr:col>
                    <xdr:colOff>819150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9" name="Check Box 25">
              <controlPr defaultSize="0" autoFill="0" autoLine="0" autoPict="0">
                <anchor moveWithCells="1">
                  <from>
                    <xdr:col>2</xdr:col>
                    <xdr:colOff>19050</xdr:colOff>
                    <xdr:row>15</xdr:row>
                    <xdr:rowOff>180975</xdr:rowOff>
                  </from>
                  <to>
                    <xdr:col>2</xdr:col>
                    <xdr:colOff>1209675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20" name="Check Box 30">
              <controlPr defaultSize="0" autoFill="0" autoLine="0" autoPict="0">
                <anchor moveWithCells="1">
                  <from>
                    <xdr:col>1</xdr:col>
                    <xdr:colOff>38100</xdr:colOff>
                    <xdr:row>33</xdr:row>
                    <xdr:rowOff>180975</xdr:rowOff>
                  </from>
                  <to>
                    <xdr:col>1</xdr:col>
                    <xdr:colOff>1133475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21" name="Check Box 31">
              <controlPr defaultSize="0" autoFill="0" autoLine="0" autoPict="0">
                <anchor moveWithCells="1">
                  <from>
                    <xdr:col>2</xdr:col>
                    <xdr:colOff>66675</xdr:colOff>
                    <xdr:row>33</xdr:row>
                    <xdr:rowOff>180975</xdr:rowOff>
                  </from>
                  <to>
                    <xdr:col>2</xdr:col>
                    <xdr:colOff>1162050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22" name="Check Box 34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180975</xdr:rowOff>
                  </from>
                  <to>
                    <xdr:col>3</xdr:col>
                    <xdr:colOff>1143000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23" name="Check Box 36">
              <controlPr defaultSize="0" autoFill="0" autoLine="0" autoPict="0">
                <anchor moveWithCells="1">
                  <from>
                    <xdr:col>1</xdr:col>
                    <xdr:colOff>38100</xdr:colOff>
                    <xdr:row>40</xdr:row>
                    <xdr:rowOff>180975</xdr:rowOff>
                  </from>
                  <to>
                    <xdr:col>1</xdr:col>
                    <xdr:colOff>1133475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24" name="Check Box 37">
              <controlPr defaultSize="0" autoFill="0" autoLine="0" autoPict="0">
                <anchor moveWithCells="1">
                  <from>
                    <xdr:col>2</xdr:col>
                    <xdr:colOff>66675</xdr:colOff>
                    <xdr:row>40</xdr:row>
                    <xdr:rowOff>180975</xdr:rowOff>
                  </from>
                  <to>
                    <xdr:col>2</xdr:col>
                    <xdr:colOff>1162050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25" name="Check Box 38">
              <controlPr defaultSize="0" autoFill="0" autoLine="0" autoPict="0">
                <anchor moveWithCells="1">
                  <from>
                    <xdr:col>1</xdr:col>
                    <xdr:colOff>38100</xdr:colOff>
                    <xdr:row>41</xdr:row>
                    <xdr:rowOff>171450</xdr:rowOff>
                  </from>
                  <to>
                    <xdr:col>1</xdr:col>
                    <xdr:colOff>1133475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26" name="Check Box 39">
              <controlPr defaultSize="0" autoFill="0" autoLine="0" autoPict="0">
                <anchor moveWithCells="1">
                  <from>
                    <xdr:col>2</xdr:col>
                    <xdr:colOff>66675</xdr:colOff>
                    <xdr:row>41</xdr:row>
                    <xdr:rowOff>171450</xdr:rowOff>
                  </from>
                  <to>
                    <xdr:col>2</xdr:col>
                    <xdr:colOff>1162050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27" name="Check Box 42">
              <controlPr defaultSize="0" autoFill="0" autoLine="0" autoPict="0">
                <anchor moveWithCells="1">
                  <from>
                    <xdr:col>2</xdr:col>
                    <xdr:colOff>1047750</xdr:colOff>
                    <xdr:row>37</xdr:row>
                    <xdr:rowOff>9525</xdr:rowOff>
                  </from>
                  <to>
                    <xdr:col>3</xdr:col>
                    <xdr:colOff>685800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28" name="Check Box 44">
              <controlPr defaultSize="0" autoFill="0" autoLine="0" autoPict="0">
                <anchor moveWithCells="1">
                  <from>
                    <xdr:col>2</xdr:col>
                    <xdr:colOff>981075</xdr:colOff>
                    <xdr:row>28</xdr:row>
                    <xdr:rowOff>171450</xdr:rowOff>
                  </from>
                  <to>
                    <xdr:col>3</xdr:col>
                    <xdr:colOff>923925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29" name="Check Box 52">
              <controlPr defaultSize="0" autoFill="0" autoLine="0" autoPict="0">
                <anchor moveWithCells="1">
                  <from>
                    <xdr:col>1</xdr:col>
                    <xdr:colOff>419100</xdr:colOff>
                    <xdr:row>39</xdr:row>
                    <xdr:rowOff>161925</xdr:rowOff>
                  </from>
                  <to>
                    <xdr:col>1</xdr:col>
                    <xdr:colOff>838200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30" name="Check Box 53">
              <controlPr defaultSize="0" autoFill="0" autoLine="0" autoPict="0">
                <anchor moveWithCells="1">
                  <from>
                    <xdr:col>1</xdr:col>
                    <xdr:colOff>38100</xdr:colOff>
                    <xdr:row>39</xdr:row>
                    <xdr:rowOff>161925</xdr:rowOff>
                  </from>
                  <to>
                    <xdr:col>1</xdr:col>
                    <xdr:colOff>457200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31" name="Check Box 54">
              <controlPr defaultSize="0" autoFill="0" autoLine="0" autoPict="0">
                <anchor moveWithCells="1">
                  <from>
                    <xdr:col>2</xdr:col>
                    <xdr:colOff>447675</xdr:colOff>
                    <xdr:row>39</xdr:row>
                    <xdr:rowOff>152400</xdr:rowOff>
                  </from>
                  <to>
                    <xdr:col>2</xdr:col>
                    <xdr:colOff>866775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32" name="Check Box 55">
              <controlPr defaultSize="0" autoFill="0" autoLine="0" autoPict="0">
                <anchor moveWithCells="1">
                  <from>
                    <xdr:col>2</xdr:col>
                    <xdr:colOff>76200</xdr:colOff>
                    <xdr:row>39</xdr:row>
                    <xdr:rowOff>152400</xdr:rowOff>
                  </from>
                  <to>
                    <xdr:col>2</xdr:col>
                    <xdr:colOff>495300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3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180975</xdr:rowOff>
                  </from>
                  <to>
                    <xdr:col>3</xdr:col>
                    <xdr:colOff>1095375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34" name="Check Box 65">
              <controlPr locked="0" defaultSize="0" autoFill="0" autoLine="0" autoPict="0">
                <anchor moveWithCells="1">
                  <from>
                    <xdr:col>1</xdr:col>
                    <xdr:colOff>1704975</xdr:colOff>
                    <xdr:row>3</xdr:row>
                    <xdr:rowOff>171450</xdr:rowOff>
                  </from>
                  <to>
                    <xdr:col>2</xdr:col>
                    <xdr:colOff>238125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35" name="Check Box 61">
              <controlPr defaultSize="0" autoFill="0" autoLine="0" autoPict="0" altText="57,7V">
                <anchor moveWithCells="1">
                  <from>
                    <xdr:col>2</xdr:col>
                    <xdr:colOff>990600</xdr:colOff>
                    <xdr:row>22</xdr:row>
                    <xdr:rowOff>180975</xdr:rowOff>
                  </from>
                  <to>
                    <xdr:col>3</xdr:col>
                    <xdr:colOff>219075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36" name="Check Box 62">
              <controlPr defaultSize="0" autoFill="0" autoLine="0" autoPict="0" altText="57,7V">
                <anchor moveWithCells="1">
                  <from>
                    <xdr:col>3</xdr:col>
                    <xdr:colOff>352425</xdr:colOff>
                    <xdr:row>22</xdr:row>
                    <xdr:rowOff>180975</xdr:rowOff>
                  </from>
                  <to>
                    <xdr:col>3</xdr:col>
                    <xdr:colOff>923925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37" name="Check Box 60">
              <controlPr defaultSize="0" autoFill="0" autoLine="0" autoPict="0" altText="57,7V">
                <anchor moveWithCells="1">
                  <from>
                    <xdr:col>2</xdr:col>
                    <xdr:colOff>342900</xdr:colOff>
                    <xdr:row>22</xdr:row>
                    <xdr:rowOff>180975</xdr:rowOff>
                  </from>
                  <to>
                    <xdr:col>2</xdr:col>
                    <xdr:colOff>914400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8" name="Check Box 27">
              <controlPr defaultSize="0" autoFill="0" autoLine="0" autoPict="0">
                <anchor moveWithCells="1">
                  <from>
                    <xdr:col>1</xdr:col>
                    <xdr:colOff>9525</xdr:colOff>
                    <xdr:row>70</xdr:row>
                    <xdr:rowOff>28575</xdr:rowOff>
                  </from>
                  <to>
                    <xdr:col>1</xdr:col>
                    <xdr:colOff>1476375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9" name="Check Box 28">
              <controlPr defaultSize="0" autoFill="0" autoLine="0" autoPict="0">
                <anchor moveWithCells="1">
                  <from>
                    <xdr:col>1</xdr:col>
                    <xdr:colOff>19050</xdr:colOff>
                    <xdr:row>71</xdr:row>
                    <xdr:rowOff>0</xdr:rowOff>
                  </from>
                  <to>
                    <xdr:col>2</xdr:col>
                    <xdr:colOff>57150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40" name="Check Box 29">
              <controlPr defaultSize="0" autoFill="0" autoLine="0" autoPict="0">
                <anchor moveWithCells="1">
                  <from>
                    <xdr:col>1</xdr:col>
                    <xdr:colOff>0</xdr:colOff>
                    <xdr:row>69</xdr:row>
                    <xdr:rowOff>0</xdr:rowOff>
                  </from>
                  <to>
                    <xdr:col>2</xdr:col>
                    <xdr:colOff>85725</xdr:colOff>
                    <xdr:row>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" name="Check Box 68">
              <controlPr defaultSize="0" autoFill="0" autoLine="0" autoPict="0">
                <anchor moveWithCells="1">
                  <from>
                    <xdr:col>1</xdr:col>
                    <xdr:colOff>733425</xdr:colOff>
                    <xdr:row>83</xdr:row>
                    <xdr:rowOff>161925</xdr:rowOff>
                  </from>
                  <to>
                    <xdr:col>3</xdr:col>
                    <xdr:colOff>47625</xdr:colOff>
                    <xdr:row>85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" name="Check Box 69">
              <controlPr defaultSize="0" autoFill="0" autoLine="0" autoPict="0">
                <anchor moveWithCells="1">
                  <from>
                    <xdr:col>1</xdr:col>
                    <xdr:colOff>733425</xdr:colOff>
                    <xdr:row>83</xdr:row>
                    <xdr:rowOff>9525</xdr:rowOff>
                  </from>
                  <to>
                    <xdr:col>3</xdr:col>
                    <xdr:colOff>66675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43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800100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4" name="Check Box 71">
              <controlPr defaultSize="0" autoFill="0" autoLine="0" autoPict="0" altText="57,7V">
                <anchor moveWithCells="1">
                  <from>
                    <xdr:col>1</xdr:col>
                    <xdr:colOff>381000</xdr:colOff>
                    <xdr:row>19</xdr:row>
                    <xdr:rowOff>0</xdr:rowOff>
                  </from>
                  <to>
                    <xdr:col>1</xdr:col>
                    <xdr:colOff>1924050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45" name="Check Box 73">
              <controlPr defaultSize="0" autoFill="0" autoLine="0" autoPict="0" altText="57,7V">
                <anchor moveWithCells="1">
                  <from>
                    <xdr:col>1</xdr:col>
                    <xdr:colOff>381000</xdr:colOff>
                    <xdr:row>20</xdr:row>
                    <xdr:rowOff>0</xdr:rowOff>
                  </from>
                  <to>
                    <xdr:col>1</xdr:col>
                    <xdr:colOff>1924050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6" name="Check Box 63">
              <controlPr defaultSize="0" autoFill="0" autoLine="0" autoPict="0" altText="57,7V">
                <anchor moveWithCells="1">
                  <from>
                    <xdr:col>3</xdr:col>
                    <xdr:colOff>476250</xdr:colOff>
                    <xdr:row>24</xdr:row>
                    <xdr:rowOff>180975</xdr:rowOff>
                  </from>
                  <to>
                    <xdr:col>3</xdr:col>
                    <xdr:colOff>1047750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7" name="Check Box 64">
              <controlPr defaultSize="0" autoFill="0" autoLine="0" autoPict="0" altText="57,7V">
                <anchor moveWithCells="1">
                  <from>
                    <xdr:col>2</xdr:col>
                    <xdr:colOff>1238250</xdr:colOff>
                    <xdr:row>24</xdr:row>
                    <xdr:rowOff>180975</xdr:rowOff>
                  </from>
                  <to>
                    <xdr:col>3</xdr:col>
                    <xdr:colOff>466725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48" name="Check Box 32">
              <controlPr defaultSize="0" autoFill="0" autoLine="0" autoPict="0">
                <anchor moveWithCells="1">
                  <from>
                    <xdr:col>1</xdr:col>
                    <xdr:colOff>38100</xdr:colOff>
                    <xdr:row>34</xdr:row>
                    <xdr:rowOff>171450</xdr:rowOff>
                  </from>
                  <to>
                    <xdr:col>1</xdr:col>
                    <xdr:colOff>1133475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49" name="Check Box 33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171450</xdr:rowOff>
                  </from>
                  <to>
                    <xdr:col>2</xdr:col>
                    <xdr:colOff>1162050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50" name="Check Box 35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171450</xdr:rowOff>
                  </from>
                  <to>
                    <xdr:col>3</xdr:col>
                    <xdr:colOff>1143000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51" name="Check Box 77">
              <controlPr defaultSize="0" autoFill="0" autoLine="0" autoPict="0" altText="57,7V">
                <anchor moveWithCells="1">
                  <from>
                    <xdr:col>1</xdr:col>
                    <xdr:colOff>0</xdr:colOff>
                    <xdr:row>24</xdr:row>
                    <xdr:rowOff>180975</xdr:rowOff>
                  </from>
                  <to>
                    <xdr:col>1</xdr:col>
                    <xdr:colOff>571500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52" name="Check Box 78">
              <controlPr defaultSize="0" autoFill="0" autoLine="0" autoPict="0" altText="57,7V">
                <anchor moveWithCells="1">
                  <from>
                    <xdr:col>1</xdr:col>
                    <xdr:colOff>504825</xdr:colOff>
                    <xdr:row>24</xdr:row>
                    <xdr:rowOff>180975</xdr:rowOff>
                  </from>
                  <to>
                    <xdr:col>1</xdr:col>
                    <xdr:colOff>1076325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53" name="Check Box 79">
              <controlPr defaultSize="0" autoFill="0" autoLine="0" autoPict="0" altText="57,7V">
                <anchor moveWithCells="1">
                  <from>
                    <xdr:col>1</xdr:col>
                    <xdr:colOff>1028700</xdr:colOff>
                    <xdr:row>24</xdr:row>
                    <xdr:rowOff>180975</xdr:rowOff>
                  </from>
                  <to>
                    <xdr:col>1</xdr:col>
                    <xdr:colOff>1600200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54" name="Check Box 80">
              <controlPr defaultSize="0" autoFill="0" autoLine="0" autoPict="0" altText="57,7V">
                <anchor moveWithCells="1">
                  <from>
                    <xdr:col>1</xdr:col>
                    <xdr:colOff>1485900</xdr:colOff>
                    <xdr:row>24</xdr:row>
                    <xdr:rowOff>180975</xdr:rowOff>
                  </from>
                  <to>
                    <xdr:col>2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5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47</xdr:row>
                    <xdr:rowOff>171450</xdr:rowOff>
                  </from>
                  <to>
                    <xdr:col>2</xdr:col>
                    <xdr:colOff>1104900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56" name="Check Box 67">
              <controlPr defaultSize="0" autoFill="0" autoLine="0" autoPict="0">
                <anchor moveWithCells="1">
                  <from>
                    <xdr:col>1</xdr:col>
                    <xdr:colOff>2009775</xdr:colOff>
                    <xdr:row>50</xdr:row>
                    <xdr:rowOff>19050</xdr:rowOff>
                  </from>
                  <to>
                    <xdr:col>2</xdr:col>
                    <xdr:colOff>504825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7" name="Check Box 2">
              <controlPr defaultSize="0" autoFill="0" autoLine="0" autoPict="0">
                <anchor moveWithCells="1">
                  <from>
                    <xdr:col>2</xdr:col>
                    <xdr:colOff>1247775</xdr:colOff>
                    <xdr:row>46</xdr:row>
                    <xdr:rowOff>171450</xdr:rowOff>
                  </from>
                  <to>
                    <xdr:col>3</xdr:col>
                    <xdr:colOff>1000125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8" name="Check Box 4">
              <controlPr defaultSize="0" autoFill="0" autoLine="0" autoPict="0">
                <anchor moveWithCells="1">
                  <from>
                    <xdr:col>2</xdr:col>
                    <xdr:colOff>1247775</xdr:colOff>
                    <xdr:row>47</xdr:row>
                    <xdr:rowOff>161925</xdr:rowOff>
                  </from>
                  <to>
                    <xdr:col>3</xdr:col>
                    <xdr:colOff>1000125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59" name="Check Box 43">
              <controlPr defaultSize="0" autoFill="0" autoLine="0" autoPict="0">
                <anchor moveWithCells="1">
                  <from>
                    <xdr:col>2</xdr:col>
                    <xdr:colOff>981075</xdr:colOff>
                    <xdr:row>29</xdr:row>
                    <xdr:rowOff>171450</xdr:rowOff>
                  </from>
                  <to>
                    <xdr:col>3</xdr:col>
                    <xdr:colOff>895350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60" name="Check Box 46">
              <controlPr defaultSize="0" autoFill="0" autoLine="0" autoPict="0">
                <anchor moveWithCells="1">
                  <from>
                    <xdr:col>1</xdr:col>
                    <xdr:colOff>409575</xdr:colOff>
                    <xdr:row>30</xdr:row>
                    <xdr:rowOff>180975</xdr:rowOff>
                  </from>
                  <to>
                    <xdr:col>1</xdr:col>
                    <xdr:colOff>828675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61" name="Check Box 47">
              <controlPr defaultSize="0" autoFill="0" autoLine="0" autoPict="0">
                <anchor moveWithCells="1">
                  <from>
                    <xdr:col>1</xdr:col>
                    <xdr:colOff>28575</xdr:colOff>
                    <xdr:row>30</xdr:row>
                    <xdr:rowOff>180975</xdr:rowOff>
                  </from>
                  <to>
                    <xdr:col>1</xdr:col>
                    <xdr:colOff>447675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62" name="Check Box 48">
              <controlPr defaultSize="0" autoFill="0" autoLine="0" autoPict="0">
                <anchor moveWithCells="1">
                  <from>
                    <xdr:col>2</xdr:col>
                    <xdr:colOff>438150</xdr:colOff>
                    <xdr:row>30</xdr:row>
                    <xdr:rowOff>171450</xdr:rowOff>
                  </from>
                  <to>
                    <xdr:col>2</xdr:col>
                    <xdr:colOff>857250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63" name="Check Box 49">
              <controlPr defaultSize="0" autoFill="0" autoLine="0" autoPict="0">
                <anchor moveWithCells="1">
                  <from>
                    <xdr:col>2</xdr:col>
                    <xdr:colOff>66675</xdr:colOff>
                    <xdr:row>30</xdr:row>
                    <xdr:rowOff>171450</xdr:rowOff>
                  </from>
                  <to>
                    <xdr:col>2</xdr:col>
                    <xdr:colOff>485775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64" name="Check Box 50">
              <controlPr defaultSize="0" autoFill="0" autoLine="0" autoPict="0">
                <anchor moveWithCells="1">
                  <from>
                    <xdr:col>3</xdr:col>
                    <xdr:colOff>409575</xdr:colOff>
                    <xdr:row>30</xdr:row>
                    <xdr:rowOff>171450</xdr:rowOff>
                  </from>
                  <to>
                    <xdr:col>3</xdr:col>
                    <xdr:colOff>828675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65" name="Check Box 51">
              <controlPr defaultSize="0" autoFill="0" autoLine="0" autoPict="0">
                <anchor moveWithCells="1">
                  <from>
                    <xdr:col>3</xdr:col>
                    <xdr:colOff>38100</xdr:colOff>
                    <xdr:row>30</xdr:row>
                    <xdr:rowOff>171450</xdr:rowOff>
                  </from>
                  <to>
                    <xdr:col>3</xdr:col>
                    <xdr:colOff>457200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66" name="Check Box 86">
              <controlPr defaultSize="0" autoFill="0" autoLine="0" autoPict="0">
                <anchor moveWithCells="1">
                  <from>
                    <xdr:col>2</xdr:col>
                    <xdr:colOff>990600</xdr:colOff>
                    <xdr:row>42</xdr:row>
                    <xdr:rowOff>171450</xdr:rowOff>
                  </from>
                  <to>
                    <xdr:col>3</xdr:col>
                    <xdr:colOff>904875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67" name="Check Box 90">
              <controlPr defaultSize="0" autoFill="0" autoLine="0" autoPict="0">
                <anchor moveWithCells="1">
                  <from>
                    <xdr:col>3</xdr:col>
                    <xdr:colOff>85725</xdr:colOff>
                    <xdr:row>86</xdr:row>
                    <xdr:rowOff>161925</xdr:rowOff>
                  </from>
                  <to>
                    <xdr:col>3</xdr:col>
                    <xdr:colOff>1019175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68" name="Check Box 91">
              <controlPr defaultSize="0" autoFill="0" autoLine="0" autoPict="0">
                <anchor moveWithCells="1">
                  <from>
                    <xdr:col>2</xdr:col>
                    <xdr:colOff>304800</xdr:colOff>
                    <xdr:row>86</xdr:row>
                    <xdr:rowOff>161925</xdr:rowOff>
                  </from>
                  <to>
                    <xdr:col>2</xdr:col>
                    <xdr:colOff>1238250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69" name="Check Box 92">
              <controlPr locked="0" defaultSize="0" autoFill="0" autoLine="0" autoPict="0">
                <anchor moveWithCells="1">
                  <from>
                    <xdr:col>2</xdr:col>
                    <xdr:colOff>209550</xdr:colOff>
                    <xdr:row>3</xdr:row>
                    <xdr:rowOff>161925</xdr:rowOff>
                  </from>
                  <to>
                    <xdr:col>2</xdr:col>
                    <xdr:colOff>704850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70" name="Check Box 99">
              <controlPr locked="0" defaultSize="0" autoFill="0" autoLine="0" autoPict="0">
                <anchor moveWithCells="1">
                  <from>
                    <xdr:col>2</xdr:col>
                    <xdr:colOff>704850</xdr:colOff>
                    <xdr:row>3</xdr:row>
                    <xdr:rowOff>161925</xdr:rowOff>
                  </from>
                  <to>
                    <xdr:col>2</xdr:col>
                    <xdr:colOff>1228725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71" name="Check Box 104">
              <controlPr defaultSize="0" autoFill="0" autoLine="0" autoPict="0">
                <anchor moveWithCells="1">
                  <from>
                    <xdr:col>2</xdr:col>
                    <xdr:colOff>190500</xdr:colOff>
                    <xdr:row>69</xdr:row>
                    <xdr:rowOff>0</xdr:rowOff>
                  </from>
                  <to>
                    <xdr:col>3</xdr:col>
                    <xdr:colOff>1085850</xdr:colOff>
                    <xdr:row>70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72" name="Check Box 105">
              <controlPr defaultSize="0" autoFill="0" autoLine="0" autoPict="0">
                <anchor moveWithCells="1">
                  <from>
                    <xdr:col>2</xdr:col>
                    <xdr:colOff>190500</xdr:colOff>
                    <xdr:row>70</xdr:row>
                    <xdr:rowOff>0</xdr:rowOff>
                  </from>
                  <to>
                    <xdr:col>3</xdr:col>
                    <xdr:colOff>314325</xdr:colOff>
                    <xdr:row>71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73" name="Check Box 106">
              <controlPr defaultSize="0" autoFill="0" autoLine="0" autoPict="0">
                <anchor moveWithCells="1">
                  <from>
                    <xdr:col>2</xdr:col>
                    <xdr:colOff>190500</xdr:colOff>
                    <xdr:row>71</xdr:row>
                    <xdr:rowOff>19050</xdr:rowOff>
                  </from>
                  <to>
                    <xdr:col>3</xdr:col>
                    <xdr:colOff>914400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74" name="Check Box 107">
              <controlPr defaultSize="0" autoFill="0" autoLine="0" autoPict="0">
                <anchor moveWithCells="1">
                  <from>
                    <xdr:col>2</xdr:col>
                    <xdr:colOff>1047750</xdr:colOff>
                    <xdr:row>38</xdr:row>
                    <xdr:rowOff>19050</xdr:rowOff>
                  </from>
                  <to>
                    <xdr:col>3</xdr:col>
                    <xdr:colOff>990600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75" name="Check Box 108">
              <controlPr locked="0" defaultSize="0" autoFill="0" autoLine="0" autoPict="0">
                <anchor moveWithCells="1">
                  <from>
                    <xdr:col>2</xdr:col>
                    <xdr:colOff>1219200</xdr:colOff>
                    <xdr:row>3</xdr:row>
                    <xdr:rowOff>171450</xdr:rowOff>
                  </from>
                  <to>
                    <xdr:col>3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76" name="Check Box 109">
              <controlPr locked="0" defaultSize="0" autoFill="0" autoLine="0" autoPict="0">
                <anchor moveWithCells="1">
                  <from>
                    <xdr:col>3</xdr:col>
                    <xdr:colOff>676275</xdr:colOff>
                    <xdr:row>3</xdr:row>
                    <xdr:rowOff>171450</xdr:rowOff>
                  </from>
                  <to>
                    <xdr:col>3</xdr:col>
                    <xdr:colOff>1400175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77" name="Check Box 111">
              <controlPr defaultSize="0" autoFill="0" autoLine="0" autoPict="0">
                <anchor moveWithCells="1">
                  <from>
                    <xdr:col>3</xdr:col>
                    <xdr:colOff>1047750</xdr:colOff>
                    <xdr:row>13</xdr:row>
                    <xdr:rowOff>0</xdr:rowOff>
                  </from>
                  <to>
                    <xdr:col>4</xdr:col>
                    <xdr:colOff>542925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xr:uid="{E2710093-D5FE-4DD0-AE1E-035164C0C7DD}">
          <x14:formula1>
            <xm:f>Daten!$C$135:$C$139</xm:f>
          </x14:formula1>
          <xm:sqref>D57</xm:sqref>
        </x14:dataValidation>
        <x14:dataValidation type="list" allowBlank="1" xr:uid="{8FAF634F-21D2-4478-ACE8-DC5114E4213E}">
          <x14:formula1>
            <xm:f>Daten!$I$115:$I$122</xm:f>
          </x14:formula1>
          <xm:sqref>B6:D6</xm:sqref>
        </x14:dataValidation>
        <x14:dataValidation type="list" allowBlank="1" xr:uid="{D2C18ACC-84C2-4255-B050-632CD14F8202}">
          <x14:formula1>
            <xm:f>Daten!$F$115:$F$136</xm:f>
          </x14:formula1>
          <xm:sqref>D65</xm:sqref>
        </x14:dataValidation>
        <x14:dataValidation type="list" allowBlank="1" xr:uid="{A55268D3-2A39-4D72-8A17-DF4729F9A336}">
          <x14:formula1>
            <xm:f>Daten!$G$115:$G$117</xm:f>
          </x14:formula1>
          <xm:sqref>D66</xm:sqref>
        </x14:dataValidation>
        <x14:dataValidation type="list" xr:uid="{0D1162A7-6F5F-421C-AA0E-84091C3F51FB}">
          <x14:formula1>
            <xm:f>Daten!$C$115:$C$134</xm:f>
          </x14:formula1>
          <xm:sqref>B9:D9</xm:sqref>
        </x14:dataValidation>
        <x14:dataValidation type="list" allowBlank="1" xr:uid="{BD194EF3-5713-4BD2-81CA-B9F08FE5203E}">
          <x14:formula1>
            <xm:f>'Daten EZE'!$H$57:$H$64</xm:f>
          </x14:formula1>
          <xm:sqref>B19:D19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/>
  <dimension ref="A1:G30"/>
  <sheetViews>
    <sheetView workbookViewId="0">
      <selection activeCell="E31" sqref="E31"/>
    </sheetView>
  </sheetViews>
  <sheetFormatPr baseColWidth="10" defaultRowHeight="12.75"/>
  <cols>
    <col min="1" max="1" width="18" style="489" bestFit="1" customWidth="1"/>
    <col min="2" max="2" width="11.140625" style="489" bestFit="1" customWidth="1"/>
    <col min="3" max="3" width="10.7109375" style="489" bestFit="1" customWidth="1"/>
    <col min="4" max="4" width="12.7109375" style="489" bestFit="1" customWidth="1"/>
    <col min="5" max="5" width="14.42578125" style="489" customWidth="1"/>
    <col min="6" max="6" width="13.140625" style="489" bestFit="1" customWidth="1"/>
    <col min="7" max="7" width="6.5703125" style="489" bestFit="1" customWidth="1"/>
  </cols>
  <sheetData>
    <row r="1" spans="1:7" ht="15" customHeight="1">
      <c r="A1" s="124" t="s">
        <v>208</v>
      </c>
      <c r="B1" s="125"/>
      <c r="C1" s="125"/>
      <c r="D1" s="125"/>
    </row>
    <row r="2" spans="1:7">
      <c r="A2" t="s">
        <v>209</v>
      </c>
      <c r="B2" s="125" t="s">
        <v>210</v>
      </c>
      <c r="C2" s="125" t="s">
        <v>211</v>
      </c>
      <c r="D2" s="125" t="s">
        <v>212</v>
      </c>
      <c r="E2" t="s">
        <v>213</v>
      </c>
      <c r="G2" t="s">
        <v>214</v>
      </c>
    </row>
    <row r="3" spans="1:7">
      <c r="A3" t="s">
        <v>215</v>
      </c>
      <c r="B3" s="487" t="s">
        <v>216</v>
      </c>
      <c r="C3" s="228" t="s">
        <v>217</v>
      </c>
      <c r="D3" s="125"/>
      <c r="E3" t="str">
        <f t="shared" ref="E3:E11" si="0">C3*D3/1000 &amp; " var"</f>
        <v>0 var</v>
      </c>
      <c r="F3" s="32" t="s">
        <v>218</v>
      </c>
    </row>
    <row r="4" spans="1:7">
      <c r="A4" t="s">
        <v>219</v>
      </c>
      <c r="B4" s="487" t="s">
        <v>216</v>
      </c>
      <c r="C4" s="228" t="s">
        <v>217</v>
      </c>
      <c r="D4" s="125"/>
      <c r="E4" t="str">
        <f t="shared" si="0"/>
        <v>0 var</v>
      </c>
      <c r="F4" s="32" t="s">
        <v>218</v>
      </c>
    </row>
    <row r="5" spans="1:7">
      <c r="A5" t="s">
        <v>220</v>
      </c>
      <c r="B5" s="487" t="s">
        <v>216</v>
      </c>
      <c r="C5" s="228" t="s">
        <v>217</v>
      </c>
      <c r="D5" s="125"/>
      <c r="E5" t="str">
        <f t="shared" si="0"/>
        <v>0 var</v>
      </c>
      <c r="F5" s="32" t="s">
        <v>218</v>
      </c>
    </row>
    <row r="6" spans="1:7">
      <c r="A6" s="491" t="s">
        <v>215</v>
      </c>
      <c r="B6" s="421" t="s">
        <v>221</v>
      </c>
      <c r="C6" s="230" t="s">
        <v>222</v>
      </c>
      <c r="D6" s="488"/>
      <c r="E6" s="490" t="str">
        <f t="shared" si="0"/>
        <v>0 var</v>
      </c>
      <c r="F6" s="490" t="s">
        <v>166</v>
      </c>
      <c r="G6" s="491"/>
    </row>
    <row r="7" spans="1:7">
      <c r="A7" t="s">
        <v>219</v>
      </c>
      <c r="B7" s="420" t="s">
        <v>221</v>
      </c>
      <c r="C7" s="125" t="s">
        <v>222</v>
      </c>
      <c r="D7" s="228"/>
      <c r="E7" t="str">
        <f t="shared" si="0"/>
        <v>0 var</v>
      </c>
      <c r="F7" s="490" t="s">
        <v>166</v>
      </c>
    </row>
    <row r="8" spans="1:7">
      <c r="A8" t="s">
        <v>220</v>
      </c>
      <c r="B8" s="420" t="s">
        <v>221</v>
      </c>
      <c r="C8" s="125" t="s">
        <v>222</v>
      </c>
      <c r="D8" s="125"/>
      <c r="E8" t="str">
        <f t="shared" si="0"/>
        <v>0 var</v>
      </c>
      <c r="F8" s="490" t="s">
        <v>166</v>
      </c>
    </row>
    <row r="9" spans="1:7">
      <c r="A9" s="491" t="s">
        <v>215</v>
      </c>
      <c r="B9" s="421" t="s">
        <v>221</v>
      </c>
      <c r="C9" s="230" t="s">
        <v>222</v>
      </c>
      <c r="D9" s="230"/>
      <c r="E9" s="491" t="str">
        <f t="shared" si="0"/>
        <v>0 var</v>
      </c>
      <c r="F9" s="491" t="s">
        <v>223</v>
      </c>
      <c r="G9" s="491"/>
    </row>
    <row r="10" spans="1:7">
      <c r="A10" t="s">
        <v>219</v>
      </c>
      <c r="B10" s="420" t="s">
        <v>221</v>
      </c>
      <c r="C10" s="125" t="s">
        <v>222</v>
      </c>
      <c r="D10" s="125"/>
      <c r="E10" t="str">
        <f t="shared" si="0"/>
        <v>0 var</v>
      </c>
      <c r="F10" t="s">
        <v>223</v>
      </c>
    </row>
    <row r="11" spans="1:7">
      <c r="A11" t="s">
        <v>220</v>
      </c>
      <c r="B11" s="420" t="s">
        <v>221</v>
      </c>
      <c r="C11" s="125" t="s">
        <v>222</v>
      </c>
      <c r="D11" s="125"/>
      <c r="E11" t="str">
        <f t="shared" si="0"/>
        <v>0 var</v>
      </c>
      <c r="F11" t="s">
        <v>223</v>
      </c>
    </row>
    <row r="12" spans="1:7" ht="15" customHeight="1">
      <c r="B12" s="125"/>
      <c r="C12" s="125"/>
      <c r="D12" s="125"/>
      <c r="F12" s="126"/>
      <c r="G12" s="126"/>
    </row>
    <row r="13" spans="1:7" ht="15" customHeight="1">
      <c r="A13" s="745" t="s">
        <v>224</v>
      </c>
      <c r="B13" s="746"/>
      <c r="C13" s="125"/>
      <c r="D13" s="125"/>
      <c r="F13" s="126"/>
      <c r="G13" s="126"/>
    </row>
    <row r="14" spans="1:7">
      <c r="A14" t="s">
        <v>209</v>
      </c>
      <c r="B14" s="125" t="s">
        <v>210</v>
      </c>
      <c r="C14" s="125" t="s">
        <v>211</v>
      </c>
      <c r="D14" s="125" t="s">
        <v>212</v>
      </c>
      <c r="E14" t="s">
        <v>213</v>
      </c>
      <c r="G14" t="s">
        <v>214</v>
      </c>
    </row>
    <row r="15" spans="1:7" ht="15" customHeight="1">
      <c r="A15" s="491" t="s">
        <v>215</v>
      </c>
      <c r="B15" s="421" t="s">
        <v>221</v>
      </c>
      <c r="C15" s="230" t="s">
        <v>222</v>
      </c>
      <c r="D15" s="230"/>
      <c r="E15" s="491" t="str">
        <f t="shared" ref="E15:E20" si="1">C15*D15/1000 &amp; " var"</f>
        <v>0 var</v>
      </c>
      <c r="F15" s="490" t="s">
        <v>166</v>
      </c>
      <c r="G15" s="126"/>
    </row>
    <row r="16" spans="1:7" ht="15" customHeight="1">
      <c r="A16" t="s">
        <v>219</v>
      </c>
      <c r="B16" s="420" t="s">
        <v>221</v>
      </c>
      <c r="C16" s="125" t="s">
        <v>222</v>
      </c>
      <c r="D16" s="125"/>
      <c r="E16" t="str">
        <f t="shared" si="1"/>
        <v>0 var</v>
      </c>
      <c r="F16" s="490" t="s">
        <v>166</v>
      </c>
      <c r="G16" s="126"/>
    </row>
    <row r="17" spans="1:7" ht="15" customHeight="1">
      <c r="A17" t="s">
        <v>220</v>
      </c>
      <c r="B17" s="420" t="s">
        <v>221</v>
      </c>
      <c r="C17" s="125" t="s">
        <v>222</v>
      </c>
      <c r="D17" s="125"/>
      <c r="E17" t="str">
        <f t="shared" si="1"/>
        <v>0 var</v>
      </c>
      <c r="F17" s="490" t="s">
        <v>166</v>
      </c>
      <c r="G17" s="126"/>
    </row>
    <row r="18" spans="1:7" ht="15" customHeight="1">
      <c r="A18" s="491" t="s">
        <v>215</v>
      </c>
      <c r="B18" s="421" t="s">
        <v>221</v>
      </c>
      <c r="C18" s="230" t="s">
        <v>222</v>
      </c>
      <c r="D18" s="230"/>
      <c r="E18" s="491" t="str">
        <f t="shared" si="1"/>
        <v>0 var</v>
      </c>
      <c r="F18" s="491" t="s">
        <v>223</v>
      </c>
      <c r="G18" s="126"/>
    </row>
    <row r="19" spans="1:7" ht="15" customHeight="1">
      <c r="A19" t="s">
        <v>219</v>
      </c>
      <c r="B19" s="420" t="s">
        <v>221</v>
      </c>
      <c r="C19" s="125" t="s">
        <v>222</v>
      </c>
      <c r="D19" s="125"/>
      <c r="E19" t="str">
        <f t="shared" si="1"/>
        <v>0 var</v>
      </c>
      <c r="F19" t="s">
        <v>223</v>
      </c>
      <c r="G19" s="126"/>
    </row>
    <row r="20" spans="1:7" ht="15" customHeight="1">
      <c r="A20" t="s">
        <v>220</v>
      </c>
      <c r="B20" s="420" t="s">
        <v>221</v>
      </c>
      <c r="C20" s="125" t="s">
        <v>222</v>
      </c>
      <c r="D20" s="125"/>
      <c r="E20" t="str">
        <f t="shared" si="1"/>
        <v>0 var</v>
      </c>
      <c r="F20" t="s">
        <v>223</v>
      </c>
      <c r="G20" s="126"/>
    </row>
    <row r="21" spans="1:7" ht="15" customHeight="1">
      <c r="B21" s="125"/>
      <c r="C21" s="125"/>
      <c r="D21" s="125"/>
      <c r="F21" s="126"/>
      <c r="G21" s="126"/>
    </row>
    <row r="22" spans="1:7" ht="15" customHeight="1">
      <c r="A22" s="124" t="s">
        <v>158</v>
      </c>
      <c r="B22" s="125"/>
      <c r="C22" s="125"/>
      <c r="D22" s="228" t="s">
        <v>225</v>
      </c>
      <c r="F22" s="126"/>
      <c r="G22" s="126"/>
    </row>
    <row r="23" spans="1:7" ht="15" customHeight="1">
      <c r="A23" s="32" t="s">
        <v>226</v>
      </c>
      <c r="B23" s="125" t="s">
        <v>227</v>
      </c>
      <c r="C23" s="228" t="s">
        <v>228</v>
      </c>
      <c r="D23" s="228"/>
      <c r="E23" t="str">
        <f t="shared" ref="E23:E28" si="2">C23*D23/1000 &amp; " var"</f>
        <v>0 var</v>
      </c>
      <c r="F23" s="126" t="s">
        <v>218</v>
      </c>
      <c r="G23" s="126"/>
    </row>
    <row r="24" spans="1:7" ht="15" customHeight="1">
      <c r="A24" s="32" t="s">
        <v>229</v>
      </c>
      <c r="B24" s="125" t="s">
        <v>227</v>
      </c>
      <c r="C24" s="228" t="s">
        <v>228</v>
      </c>
      <c r="D24" s="125"/>
      <c r="E24" t="str">
        <f t="shared" si="2"/>
        <v>0 var</v>
      </c>
      <c r="F24" s="126" t="s">
        <v>218</v>
      </c>
      <c r="G24" s="126"/>
    </row>
    <row r="25" spans="1:7" ht="15" customHeight="1">
      <c r="A25" s="492" t="s">
        <v>230</v>
      </c>
      <c r="B25" s="406" t="s">
        <v>227</v>
      </c>
      <c r="C25" s="406" t="s">
        <v>228</v>
      </c>
      <c r="D25" s="406"/>
      <c r="E25" s="492" t="str">
        <f t="shared" si="2"/>
        <v>0 var</v>
      </c>
      <c r="F25" s="407" t="s">
        <v>218</v>
      </c>
      <c r="G25" s="126"/>
    </row>
    <row r="26" spans="1:7" ht="15" customHeight="1">
      <c r="A26" s="32" t="s">
        <v>231</v>
      </c>
      <c r="B26" s="125" t="s">
        <v>227</v>
      </c>
      <c r="C26" s="228" t="s">
        <v>228</v>
      </c>
      <c r="D26" s="228"/>
      <c r="E26" t="str">
        <f t="shared" si="2"/>
        <v>0 var</v>
      </c>
      <c r="F26" s="126" t="s">
        <v>168</v>
      </c>
    </row>
    <row r="27" spans="1:7" ht="15" customHeight="1">
      <c r="A27" t="s">
        <v>232</v>
      </c>
      <c r="B27" s="125" t="s">
        <v>227</v>
      </c>
      <c r="C27" s="228" t="s">
        <v>228</v>
      </c>
      <c r="D27" s="125"/>
      <c r="E27" t="str">
        <f t="shared" si="2"/>
        <v>0 var</v>
      </c>
      <c r="F27" s="126" t="s">
        <v>168</v>
      </c>
    </row>
    <row r="28" spans="1:7" ht="15" customHeight="1">
      <c r="A28" t="s">
        <v>233</v>
      </c>
      <c r="B28" s="125" t="s">
        <v>227</v>
      </c>
      <c r="C28" s="228" t="s">
        <v>228</v>
      </c>
      <c r="D28" s="125"/>
      <c r="E28" t="str">
        <f t="shared" si="2"/>
        <v>0 var</v>
      </c>
      <c r="F28" s="126" t="s">
        <v>168</v>
      </c>
    </row>
    <row r="30" spans="1:7" ht="15" customHeight="1">
      <c r="A30" s="32" t="s">
        <v>170</v>
      </c>
      <c r="B30" s="125" t="s">
        <v>234</v>
      </c>
      <c r="C30" s="229">
        <v>100</v>
      </c>
      <c r="E30" t="str">
        <f>C30*D30/1000 &amp; " var"</f>
        <v>0 var</v>
      </c>
      <c r="F30" s="126" t="s">
        <v>170</v>
      </c>
    </row>
  </sheetData>
  <mergeCells count="1">
    <mergeCell ref="A13:B13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X142"/>
  <sheetViews>
    <sheetView topLeftCell="A76" zoomScaleNormal="100" workbookViewId="0">
      <selection activeCell="D147" sqref="D147"/>
    </sheetView>
  </sheetViews>
  <sheetFormatPr baseColWidth="10" defaultRowHeight="15"/>
  <cols>
    <col min="1" max="1" width="81.28515625" style="55" bestFit="1" customWidth="1"/>
    <col min="2" max="2" width="8.7109375" style="55" customWidth="1"/>
    <col min="3" max="3" width="81.7109375" style="83" bestFit="1" customWidth="1"/>
    <col min="4" max="4" width="17.28515625" style="55" customWidth="1"/>
    <col min="5" max="5" width="5.85546875" style="55" customWidth="1"/>
    <col min="6" max="6" width="16.85546875" style="55" bestFit="1" customWidth="1"/>
    <col min="7" max="7" width="22.140625" style="55" customWidth="1"/>
    <col min="8" max="8" width="27.140625" style="55" customWidth="1"/>
    <col min="9" max="9" width="10" style="55" customWidth="1"/>
    <col min="10" max="10" width="7.7109375" style="55" hidden="1" customWidth="1"/>
    <col min="11" max="11" width="10" style="55" hidden="1" customWidth="1"/>
    <col min="12" max="12" width="7.7109375" style="55" hidden="1" customWidth="1"/>
    <col min="13" max="13" width="10" style="55" hidden="1" customWidth="1"/>
    <col min="14" max="14" width="6.7109375" style="55" hidden="1" customWidth="1"/>
    <col min="15" max="15" width="11.42578125" style="55" hidden="1" customWidth="1"/>
    <col min="16" max="16" width="7.7109375" style="55" hidden="1" customWidth="1"/>
    <col min="17" max="17" width="10" style="55" hidden="1" customWidth="1"/>
    <col min="18" max="18" width="8.5703125" style="55" hidden="1" customWidth="1"/>
    <col min="19" max="19" width="11.42578125" style="55" hidden="1" customWidth="1"/>
    <col min="20" max="28" width="11.42578125" style="55" customWidth="1"/>
    <col min="29" max="16384" width="11.42578125" style="55"/>
  </cols>
  <sheetData>
    <row r="1" spans="1:22" ht="15.75" customHeight="1">
      <c r="A1" s="758" t="s">
        <v>235</v>
      </c>
      <c r="B1" s="670"/>
      <c r="C1" s="759"/>
      <c r="D1" s="350"/>
    </row>
    <row r="2" spans="1:22" ht="45" customHeight="1">
      <c r="A2" s="309" t="s">
        <v>236</v>
      </c>
      <c r="B2" s="95"/>
      <c r="C2" s="153" t="s">
        <v>237</v>
      </c>
      <c r="D2" s="91"/>
    </row>
    <row r="3" spans="1:22" hidden="1">
      <c r="A3" s="310" t="s">
        <v>238</v>
      </c>
      <c r="B3" s="97"/>
      <c r="C3" s="231">
        <f>'Schutzprüf-Checkliste'!B3</f>
        <v>0</v>
      </c>
      <c r="D3" s="91"/>
    </row>
    <row r="4" spans="1:22">
      <c r="A4" s="309" t="s">
        <v>239</v>
      </c>
      <c r="B4" s="95"/>
      <c r="C4" s="214" t="s">
        <v>240</v>
      </c>
      <c r="D4" s="349"/>
    </row>
    <row r="5" spans="1:22" hidden="1">
      <c r="A5" s="311" t="s">
        <v>241</v>
      </c>
      <c r="B5" s="303"/>
      <c r="C5" s="465" t="str">
        <f>ProtNr!C2</f>
        <v>2026.5.03.05</v>
      </c>
      <c r="D5" s="349"/>
    </row>
    <row r="6" spans="1:22" hidden="1">
      <c r="A6" s="312" t="s">
        <v>242</v>
      </c>
      <c r="B6" s="313"/>
      <c r="C6" s="465" t="str">
        <f>ProtNr!D2</f>
        <v>2026.5.07.05</v>
      </c>
      <c r="D6" s="349"/>
      <c r="V6" s="55" t="s">
        <v>243</v>
      </c>
    </row>
    <row r="7" spans="1:22">
      <c r="A7" s="55" t="s">
        <v>244</v>
      </c>
      <c r="C7" s="153" t="s">
        <v>245</v>
      </c>
      <c r="D7" s="55" t="s">
        <v>943</v>
      </c>
      <c r="E7" s="55" t="s">
        <v>943</v>
      </c>
      <c r="F7" s="458" t="s">
        <v>246</v>
      </c>
      <c r="G7" s="458" t="s">
        <v>247</v>
      </c>
      <c r="H7" s="459" t="s">
        <v>248</v>
      </c>
      <c r="U7" s="459" t="s">
        <v>249</v>
      </c>
    </row>
    <row r="8" spans="1:22" ht="15.75" customHeight="1" thickBot="1">
      <c r="A8" s="55" t="s">
        <v>250</v>
      </c>
      <c r="C8" s="83" t="s">
        <v>251</v>
      </c>
    </row>
    <row r="9" spans="1:22" hidden="1"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</row>
    <row r="10" spans="1:22" hidden="1">
      <c r="E10" s="57"/>
      <c r="F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</row>
    <row r="11" spans="1:22" hidden="1"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</row>
    <row r="12" spans="1:22" ht="15.75" hidden="1" customHeight="1">
      <c r="E12" s="288"/>
      <c r="F12" s="288"/>
      <c r="G12" s="283"/>
      <c r="H12" s="283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</row>
    <row r="13" spans="1:22" ht="15.75" hidden="1" customHeight="1" thickBot="1">
      <c r="E13" s="285"/>
      <c r="F13" s="286" t="s">
        <v>251</v>
      </c>
      <c r="G13" s="57" t="s">
        <v>252</v>
      </c>
      <c r="H13" s="57" t="s">
        <v>253</v>
      </c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</row>
    <row r="14" spans="1:22" ht="15.75" hidden="1" customHeight="1">
      <c r="A14" s="753" t="s">
        <v>254</v>
      </c>
      <c r="B14" s="703"/>
      <c r="C14" s="704"/>
      <c r="D14" s="57"/>
      <c r="E14" s="57"/>
      <c r="F14" s="57"/>
      <c r="G14" s="57" t="s">
        <v>255</v>
      </c>
      <c r="H14" s="57">
        <v>21</v>
      </c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</row>
    <row r="15" spans="1:22" hidden="1">
      <c r="A15" s="116" t="s">
        <v>256</v>
      </c>
      <c r="B15" s="117"/>
      <c r="C15" s="164"/>
      <c r="D15" s="57"/>
      <c r="E15" s="57"/>
      <c r="F15" s="57"/>
      <c r="G15" s="57" t="str">
        <f t="shared" ref="G15:G25" si="0">A15</f>
        <v>Wandlerdaten</v>
      </c>
      <c r="H15" s="57">
        <v>25</v>
      </c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</row>
    <row r="16" spans="1:22" hidden="1">
      <c r="A16" s="116" t="s">
        <v>257</v>
      </c>
      <c r="B16" s="117"/>
      <c r="C16" s="164" t="str">
        <f>'Schutzprüf-Checkliste'!L14</f>
        <v/>
      </c>
      <c r="D16" s="57"/>
      <c r="E16" s="57"/>
      <c r="F16" s="57"/>
      <c r="G16" s="57" t="str">
        <f t="shared" si="0"/>
        <v>UMZ-Schutz I&gt;</v>
      </c>
      <c r="H16" s="57">
        <v>7</v>
      </c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</row>
    <row r="17" spans="1:19" hidden="1">
      <c r="A17" s="116" t="s">
        <v>258</v>
      </c>
      <c r="B17" s="117"/>
      <c r="C17" s="164" t="str">
        <f>'Schutzprüf-Checkliste'!L14</f>
        <v/>
      </c>
      <c r="D17" s="57"/>
      <c r="E17" s="57"/>
      <c r="F17" s="57"/>
      <c r="G17" s="57" t="str">
        <f t="shared" si="0"/>
        <v>UMZ-Schutz I&gt;&gt;</v>
      </c>
      <c r="H17" s="57">
        <v>5</v>
      </c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</row>
    <row r="18" spans="1:19" hidden="1">
      <c r="A18" s="116" t="s">
        <v>259</v>
      </c>
      <c r="B18" s="117"/>
      <c r="C18" s="164" t="str">
        <f>'Schutzprüf-Checkliste'!N14</f>
        <v/>
      </c>
      <c r="D18" s="57"/>
      <c r="E18" s="57"/>
      <c r="F18" s="57"/>
      <c r="G18" s="57" t="str">
        <f t="shared" si="0"/>
        <v>UMZ-Schutz Ie&gt;</v>
      </c>
      <c r="H18" s="57">
        <v>5</v>
      </c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</row>
    <row r="19" spans="1:19" hidden="1">
      <c r="A19" s="116" t="s">
        <v>260</v>
      </c>
      <c r="B19" s="117"/>
      <c r="C19" s="164" t="str">
        <f>'Schutzprüf-Checkliste'!N14</f>
        <v/>
      </c>
      <c r="D19" s="57"/>
      <c r="E19" s="57"/>
      <c r="F19" s="57"/>
      <c r="G19" s="57" t="str">
        <f t="shared" si="0"/>
        <v>UMZ-Schutz Ie&gt;&gt;</v>
      </c>
      <c r="H19" s="57">
        <v>5</v>
      </c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</row>
    <row r="20" spans="1:19" hidden="1">
      <c r="A20" s="116" t="s">
        <v>261</v>
      </c>
      <c r="B20" s="117"/>
      <c r="C20" s="164" t="str">
        <f>'Schutzprüf-Checkliste'!L16</f>
        <v/>
      </c>
      <c r="D20" s="57"/>
      <c r="E20" s="57"/>
      <c r="F20" s="57"/>
      <c r="G20" s="57" t="str">
        <f t="shared" si="0"/>
        <v>Bürdemessung</v>
      </c>
      <c r="H20" s="57">
        <v>10</v>
      </c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</row>
    <row r="21" spans="1:19" hidden="1">
      <c r="A21" s="116" t="s">
        <v>262</v>
      </c>
      <c r="B21" s="117"/>
      <c r="C21" s="164" t="str">
        <f>'Schutzprüf-Checkliste'!L17</f>
        <v/>
      </c>
      <c r="D21" s="57"/>
      <c r="E21" s="57"/>
      <c r="F21" s="57"/>
      <c r="G21" s="57" t="str">
        <f t="shared" si="0"/>
        <v>Isolationsmessung</v>
      </c>
      <c r="H21" s="57">
        <v>6</v>
      </c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</row>
    <row r="22" spans="1:19" hidden="1">
      <c r="A22" s="116" t="s">
        <v>263</v>
      </c>
      <c r="B22" s="117"/>
      <c r="C22" s="164" t="str">
        <f>'Schutzprüf-Checkliste'!J17</f>
        <v/>
      </c>
      <c r="D22" s="57"/>
      <c r="E22" s="57"/>
      <c r="F22" s="57"/>
      <c r="G22" s="57" t="str">
        <f t="shared" si="0"/>
        <v>Erdschlussrichtung</v>
      </c>
      <c r="H22" s="57">
        <v>8</v>
      </c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</row>
    <row r="23" spans="1:19" hidden="1">
      <c r="A23" s="116" t="s">
        <v>264</v>
      </c>
      <c r="B23" s="117"/>
      <c r="C23" s="164" t="str">
        <f>'Schutzprüf-Checkliste'!J15</f>
        <v/>
      </c>
      <c r="D23" s="57"/>
      <c r="E23" s="57"/>
      <c r="F23" s="57"/>
      <c r="G23" s="57" t="str">
        <f t="shared" si="0"/>
        <v>Spannungsschutz</v>
      </c>
      <c r="H23" s="57">
        <v>27</v>
      </c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</row>
    <row r="24" spans="1:19" hidden="1">
      <c r="A24" s="116" t="s">
        <v>265</v>
      </c>
      <c r="B24" s="117"/>
      <c r="C24" s="164" t="str">
        <f>'Schutzprüf-Checkliste'!L15</f>
        <v/>
      </c>
      <c r="D24" s="57"/>
      <c r="E24" s="57"/>
      <c r="F24" s="57"/>
      <c r="G24" s="57" t="str">
        <f t="shared" si="0"/>
        <v>Frequenzschutz</v>
      </c>
      <c r="H24" s="57">
        <v>6</v>
      </c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</row>
    <row r="25" spans="1:19" hidden="1">
      <c r="A25" s="116" t="s">
        <v>266</v>
      </c>
      <c r="B25" s="117"/>
      <c r="C25" s="164" t="str">
        <f>'Schutzprüf-Checkliste'!J16</f>
        <v/>
      </c>
      <c r="D25" s="57"/>
      <c r="E25" s="57"/>
      <c r="F25" s="57"/>
      <c r="G25" s="57" t="str">
        <f t="shared" si="0"/>
        <v>QU-Schutz</v>
      </c>
      <c r="H25" s="57">
        <v>32</v>
      </c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</row>
    <row r="26" spans="1:19" hidden="1">
      <c r="A26" s="768" t="s">
        <v>267</v>
      </c>
      <c r="B26" s="132">
        <v>46</v>
      </c>
      <c r="C26" s="142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</row>
    <row r="27" spans="1:19" hidden="1">
      <c r="A27" s="741"/>
      <c r="B27" s="117">
        <v>85</v>
      </c>
      <c r="C27" s="143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</row>
    <row r="28" spans="1:19" hidden="1">
      <c r="A28" s="741"/>
      <c r="B28" s="117">
        <v>112</v>
      </c>
      <c r="C28" s="143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</row>
    <row r="29" spans="1:19" hidden="1">
      <c r="A29" s="741"/>
      <c r="B29" s="117">
        <v>125</v>
      </c>
      <c r="C29" s="143"/>
      <c r="D29" s="57"/>
      <c r="E29" s="57"/>
      <c r="F29" s="57"/>
      <c r="G29" s="57" t="s">
        <v>266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</row>
    <row r="30" spans="1:19" hidden="1">
      <c r="A30" s="741"/>
      <c r="B30" s="117">
        <v>133</v>
      </c>
      <c r="C30" s="143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</row>
    <row r="31" spans="1:19" ht="15.75" hidden="1" customHeight="1" thickBot="1">
      <c r="A31" s="769"/>
      <c r="B31" s="133">
        <v>200</v>
      </c>
      <c r="C31" s="144" t="s">
        <v>251</v>
      </c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</row>
    <row r="32" spans="1:19" ht="19.5" customHeight="1">
      <c r="A32" s="753" t="s">
        <v>268</v>
      </c>
      <c r="B32" s="703"/>
      <c r="C32" s="704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</row>
    <row r="33" spans="1:19">
      <c r="A33" s="764" t="s">
        <v>269</v>
      </c>
      <c r="B33" s="670"/>
      <c r="C33" s="759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</row>
    <row r="34" spans="1:19">
      <c r="A34" s="514" t="s">
        <v>270</v>
      </c>
      <c r="B34" s="55" t="s">
        <v>271</v>
      </c>
      <c r="C34" s="119" t="s">
        <v>251</v>
      </c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</row>
    <row r="35" spans="1:19" ht="29.25" customHeight="1">
      <c r="A35" s="118" t="s">
        <v>272</v>
      </c>
      <c r="B35" s="56"/>
      <c r="C35" s="209" t="s">
        <v>273</v>
      </c>
      <c r="D35" s="147" t="s">
        <v>13</v>
      </c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</row>
    <row r="36" spans="1:19">
      <c r="A36" s="750" t="s">
        <v>274</v>
      </c>
      <c r="B36" s="84" t="s">
        <v>54</v>
      </c>
      <c r="C36" s="208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</row>
    <row r="37" spans="1:19">
      <c r="A37" s="741"/>
      <c r="B37" s="85" t="s">
        <v>55</v>
      </c>
      <c r="C37" s="208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</row>
    <row r="38" spans="1:19" ht="22.5" customHeight="1">
      <c r="A38" s="741"/>
      <c r="B38" s="85" t="s">
        <v>56</v>
      </c>
      <c r="C38" s="208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</row>
    <row r="39" spans="1:19" ht="22.5" customHeight="1">
      <c r="A39" s="752" t="s">
        <v>275</v>
      </c>
      <c r="B39" s="748"/>
      <c r="C39" s="208">
        <v>2024</v>
      </c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</row>
    <row r="40" spans="1:19" ht="18.75" hidden="1" customHeight="1">
      <c r="A40" s="118" t="s">
        <v>276</v>
      </c>
      <c r="B40" s="55" t="s">
        <v>277</v>
      </c>
      <c r="C40" s="88">
        <f>'Schutzprüf-Checkliste'!D60</f>
        <v>0</v>
      </c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</row>
    <row r="41" spans="1:19">
      <c r="A41" s="767" t="s">
        <v>278</v>
      </c>
      <c r="B41" s="188" t="s">
        <v>279</v>
      </c>
      <c r="C41" s="757"/>
      <c r="D41" s="56" t="str">
        <f>IF(I41=TRUE,J41&amp;IF(M41=TRUE,N41,""),IF(K41=TRUE,L41&amp;IF(M41=TRUE,N41,""),""))</f>
        <v/>
      </c>
      <c r="E41" s="57"/>
      <c r="F41" s="57"/>
      <c r="G41" s="57"/>
      <c r="H41" s="57"/>
      <c r="I41" s="57" t="b">
        <v>0</v>
      </c>
      <c r="J41" s="55" t="str">
        <f>IF(I41=TRUE, "0,2", "")</f>
        <v/>
      </c>
      <c r="K41" s="57" t="b">
        <v>0</v>
      </c>
      <c r="L41" s="55" t="str">
        <f>IF(K41=TRUE, "0,5", "")</f>
        <v/>
      </c>
      <c r="M41" s="57" t="b">
        <v>0</v>
      </c>
      <c r="N41" s="55" t="str">
        <f>IF(M41=TRUE, "(3P)", "")</f>
        <v/>
      </c>
      <c r="O41" s="57"/>
      <c r="P41" s="57"/>
      <c r="Q41" s="57"/>
      <c r="R41" s="57"/>
      <c r="S41" s="57"/>
    </row>
    <row r="42" spans="1:19">
      <c r="A42" s="673"/>
      <c r="C42" s="686"/>
      <c r="D42" s="56"/>
      <c r="E42" s="57"/>
      <c r="F42" s="57"/>
      <c r="G42" s="57"/>
      <c r="H42" s="57"/>
      <c r="I42" s="57"/>
      <c r="J42" s="57"/>
      <c r="K42" s="57"/>
      <c r="L42" s="57"/>
      <c r="M42" s="57"/>
      <c r="O42" s="57"/>
      <c r="P42" s="57"/>
      <c r="Q42" s="57"/>
      <c r="R42" s="57"/>
      <c r="S42" s="57"/>
    </row>
    <row r="43" spans="1:19">
      <c r="A43" s="673"/>
      <c r="B43" s="55" t="s">
        <v>280</v>
      </c>
      <c r="C43" s="686"/>
      <c r="D43" s="56" t="str">
        <f>IF(I43=TRUE,J43&amp;IF(M43=TRUE,N43,""),IF(K43=TRUE,L43&amp;IF(M43=TRUE,N43,""),""))</f>
        <v/>
      </c>
      <c r="E43" s="57"/>
      <c r="F43" s="57"/>
      <c r="G43" s="57"/>
      <c r="H43" s="57"/>
      <c r="I43" s="57" t="b">
        <v>0</v>
      </c>
      <c r="J43" s="55" t="str">
        <f>IF(I43=TRUE, "0,2", "")</f>
        <v/>
      </c>
      <c r="K43" s="57" t="b">
        <v>0</v>
      </c>
      <c r="L43" s="55" t="str">
        <f>IF(K43=TRUE, "0,5", "")</f>
        <v/>
      </c>
      <c r="M43" s="57" t="b">
        <v>0</v>
      </c>
      <c r="N43" s="55" t="str">
        <f>IF(M43=TRUE, "(3P)", "")</f>
        <v/>
      </c>
      <c r="O43" s="57"/>
      <c r="P43" s="57"/>
      <c r="Q43" s="57"/>
      <c r="R43" s="57"/>
      <c r="S43" s="57"/>
    </row>
    <row r="44" spans="1:19">
      <c r="A44" s="673"/>
      <c r="C44" s="686"/>
      <c r="D44" s="56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</row>
    <row r="45" spans="1:19">
      <c r="A45" s="673"/>
      <c r="B45" s="55" t="s">
        <v>170</v>
      </c>
      <c r="C45" s="686"/>
      <c r="D45" s="56" t="str">
        <f>IF(I45=TRUE,J45,IF(K45=TRUE,L45,IF(M45=TRUE,N45,IF(O45=TRUE,P45,IF(Q45=TRUE,R45,"")))))</f>
        <v/>
      </c>
      <c r="E45" s="57"/>
      <c r="F45" s="57"/>
      <c r="G45" s="57"/>
      <c r="H45" s="57"/>
      <c r="I45" s="57"/>
      <c r="J45" s="57"/>
      <c r="K45" s="57" t="b">
        <v>0</v>
      </c>
      <c r="L45" s="55" t="str">
        <f>IF(K45=TRUE, "(3P)", "")</f>
        <v/>
      </c>
      <c r="M45" s="57" t="b">
        <v>0</v>
      </c>
      <c r="N45" s="55" t="str">
        <f>IF(M45=TRUE, "(6P)", "")</f>
        <v/>
      </c>
      <c r="O45" s="57"/>
      <c r="P45" s="57"/>
      <c r="Q45" s="57"/>
      <c r="R45" s="57"/>
      <c r="S45" s="57"/>
    </row>
    <row r="46" spans="1:19">
      <c r="A46" s="674"/>
      <c r="B46" s="189"/>
      <c r="C46" s="680"/>
      <c r="D46" s="56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</row>
    <row r="47" spans="1:19">
      <c r="A47" s="767" t="s">
        <v>281</v>
      </c>
      <c r="B47" s="188" t="s">
        <v>279</v>
      </c>
      <c r="C47" s="762"/>
      <c r="D47" s="56" t="str">
        <f>IF(I47=TRUE,J47,IF(K47=TRUE,L47,IF(M47=TRUE,N47,IF(O47=TRUE,P47,IF(Q47=TRUE,R47,"")))))</f>
        <v/>
      </c>
      <c r="I47" s="55" t="b">
        <v>0</v>
      </c>
      <c r="J47" s="55" t="str">
        <f>IF(I47=TRUE, "5 VA ", "")</f>
        <v/>
      </c>
      <c r="K47" s="55" t="b">
        <v>0</v>
      </c>
      <c r="L47" s="55" t="str">
        <f>IF(K47=TRUE, "10 VA ", "")</f>
        <v/>
      </c>
      <c r="M47" s="55" t="b">
        <v>0</v>
      </c>
      <c r="N47" s="55" t="str">
        <f>IF(M47=TRUE, "15 VA ", "")</f>
        <v/>
      </c>
      <c r="O47" s="55" t="b">
        <v>0</v>
      </c>
      <c r="P47" s="55" t="str">
        <f>IF(O47=TRUE, "30 VA ", "")</f>
        <v/>
      </c>
      <c r="Q47" s="55" t="b">
        <v>0</v>
      </c>
      <c r="R47" s="55" t="str">
        <f>IF(Q47=TRUE, "100 VA ", "")</f>
        <v/>
      </c>
    </row>
    <row r="48" spans="1:19">
      <c r="A48" s="673"/>
      <c r="C48" s="686"/>
      <c r="D48" s="56"/>
    </row>
    <row r="49" spans="1:18">
      <c r="A49" s="673"/>
      <c r="B49" s="55" t="s">
        <v>280</v>
      </c>
      <c r="C49" s="686"/>
      <c r="D49" s="56" t="str">
        <f>IF(I49=TRUE,J49,IF(K49=TRUE,L49,IF(M49=TRUE,N49,IF(O49=TRUE,P49,IF(Q49=TRUE,R49,"")))))</f>
        <v/>
      </c>
      <c r="I49" s="55" t="b">
        <v>0</v>
      </c>
      <c r="J49" s="55" t="str">
        <f>IF(I49=TRUE, "5 VA ", "")</f>
        <v/>
      </c>
      <c r="K49" s="55" t="b">
        <v>0</v>
      </c>
      <c r="L49" s="55" t="str">
        <f>IF(K49=TRUE, "10 VA ", "")</f>
        <v/>
      </c>
      <c r="M49" s="55" t="b">
        <v>0</v>
      </c>
      <c r="N49" s="55" t="str">
        <f>IF(M49=TRUE, "15 VA ", "")</f>
        <v/>
      </c>
      <c r="O49" s="55" t="b">
        <v>0</v>
      </c>
      <c r="P49" s="55" t="str">
        <f>IF(O49=TRUE, "30 VA ", "")</f>
        <v/>
      </c>
      <c r="Q49" s="55" t="b">
        <v>0</v>
      </c>
      <c r="R49" s="55" t="str">
        <f>IF(Q49=TRUE, "100 VA ", "")</f>
        <v/>
      </c>
    </row>
    <row r="50" spans="1:18">
      <c r="A50" s="673"/>
      <c r="C50" s="686"/>
      <c r="D50" s="56"/>
    </row>
    <row r="51" spans="1:18">
      <c r="A51" s="674"/>
      <c r="B51" s="189" t="s">
        <v>170</v>
      </c>
      <c r="C51" s="680"/>
      <c r="D51" s="56" t="str">
        <f>IF(I51=TRUE,J51,IF(K51=TRUE,L51,IF(M51=TRUE,N51,IF(O51=TRUE,P51,IF(Q51=TRUE,R51,"")))))</f>
        <v/>
      </c>
      <c r="I51" s="55" t="b">
        <v>0</v>
      </c>
      <c r="J51" s="55" t="str">
        <f>IF(I51=TRUE, "5 VA ", "")</f>
        <v/>
      </c>
      <c r="K51" s="55" t="b">
        <v>0</v>
      </c>
      <c r="L51" s="55" t="str">
        <f>IF(K51=TRUE, "10 VA ", "")</f>
        <v/>
      </c>
      <c r="M51" s="55" t="b">
        <v>0</v>
      </c>
      <c r="N51" s="55" t="str">
        <f>IF(M51=TRUE, "15 VA ", "")</f>
        <v/>
      </c>
      <c r="O51" s="55" t="b">
        <v>0</v>
      </c>
      <c r="P51" s="55" t="str">
        <f>IF(O51=TRUE, "30 VA ", "")</f>
        <v/>
      </c>
      <c r="Q51" s="55" t="b">
        <v>0</v>
      </c>
      <c r="R51" s="55" t="str">
        <f>IF(Q51=TRUE, "100 VA ", "")</f>
        <v/>
      </c>
    </row>
    <row r="52" spans="1:18" hidden="1">
      <c r="A52" s="89" t="s">
        <v>282</v>
      </c>
      <c r="C52" s="88" t="str">
        <f>'Schutzprüf-Checkliste'!D60*10&amp;"V L-N"</f>
        <v>0V L-N</v>
      </c>
    </row>
    <row r="53" spans="1:18" hidden="1">
      <c r="A53" s="90" t="s">
        <v>283</v>
      </c>
      <c r="C53" s="208" t="str">
        <f>IF('Schutzprüf-Checkliste'!E112="x", "Zählerschrank; ","")&amp; IF('Schutzprüf-Checkliste'!E115="x", " 2. Wicklung; ","")&amp; IF('Schutzprüf-Checkliste'!E118="x", " Schutz-Wicklung; ","")&amp; IF('Schutzprüf-Checkliste'!E121="x", " da-dn (Klemmen)","")</f>
        <v/>
      </c>
    </row>
    <row r="54" spans="1:18">
      <c r="A54" s="764" t="s">
        <v>284</v>
      </c>
      <c r="B54" s="670"/>
      <c r="C54" s="759"/>
    </row>
    <row r="55" spans="1:18" hidden="1">
      <c r="A55" s="514" t="s">
        <v>270</v>
      </c>
      <c r="B55" s="55" t="s">
        <v>271</v>
      </c>
      <c r="C55" s="119" t="s">
        <v>251</v>
      </c>
    </row>
    <row r="56" spans="1:18" ht="30" customHeight="1">
      <c r="A56" s="514" t="s">
        <v>272</v>
      </c>
      <c r="C56" s="209" t="s">
        <v>285</v>
      </c>
      <c r="D56" s="147" t="s">
        <v>13</v>
      </c>
      <c r="E56" s="58"/>
      <c r="F56" s="58"/>
      <c r="G56" s="58"/>
    </row>
    <row r="57" spans="1:18">
      <c r="A57" s="755" t="s">
        <v>286</v>
      </c>
      <c r="B57" s="84" t="s">
        <v>54</v>
      </c>
      <c r="C57" s="210"/>
      <c r="D57" s="56"/>
      <c r="E57" s="56"/>
      <c r="F57" s="56"/>
      <c r="G57" s="56"/>
    </row>
    <row r="58" spans="1:18">
      <c r="A58" s="741"/>
      <c r="B58" s="85" t="s">
        <v>55</v>
      </c>
      <c r="C58" s="210"/>
      <c r="D58" s="67"/>
      <c r="E58" s="61"/>
      <c r="F58" s="59"/>
      <c r="G58" s="69"/>
    </row>
    <row r="59" spans="1:18">
      <c r="A59" s="741"/>
      <c r="B59" s="85" t="s">
        <v>56</v>
      </c>
      <c r="C59" s="210"/>
      <c r="D59" s="68"/>
      <c r="E59" s="61"/>
      <c r="F59" s="59"/>
      <c r="G59" s="69"/>
    </row>
    <row r="60" spans="1:18">
      <c r="A60" s="752" t="s">
        <v>287</v>
      </c>
      <c r="B60" s="748"/>
      <c r="C60" s="208">
        <v>2024</v>
      </c>
      <c r="D60" s="68"/>
      <c r="E60" s="61"/>
      <c r="F60" s="59"/>
      <c r="G60" s="69"/>
    </row>
    <row r="61" spans="1:18">
      <c r="A61" s="755" t="s">
        <v>278</v>
      </c>
      <c r="B61" s="63" t="s">
        <v>51</v>
      </c>
      <c r="C61" s="210"/>
      <c r="D61" s="68" t="str">
        <f>IF(I61=K61,"",IF(I61=TRUE,J61,L61)&amp;IF(M61=TRUE,N61,"")&amp;P61)</f>
        <v/>
      </c>
      <c r="E61" s="61"/>
      <c r="F61" s="59"/>
      <c r="G61" s="69"/>
      <c r="I61" s="55" t="b">
        <v>0</v>
      </c>
      <c r="J61" s="55" t="str">
        <f>IF(I61=TRUE, "0,2", "")</f>
        <v/>
      </c>
      <c r="K61" s="55" t="b">
        <v>0</v>
      </c>
      <c r="L61" s="55" t="str">
        <f>IF(K61=TRUE, "0,5", "")</f>
        <v/>
      </c>
      <c r="M61" s="55" t="b">
        <v>1</v>
      </c>
      <c r="N61" s="55" t="str">
        <f>IF(M61=TRUE, "S", "")</f>
        <v>S</v>
      </c>
      <c r="O61" s="55" t="b">
        <v>1</v>
      </c>
      <c r="P61" s="55" t="str">
        <f>IF(O61=TRUE, "FS5", "")</f>
        <v>FS5</v>
      </c>
    </row>
    <row r="62" spans="1:18">
      <c r="A62" s="741"/>
      <c r="B62" s="63" t="s">
        <v>52</v>
      </c>
      <c r="C62" s="210"/>
      <c r="D62" s="68" t="str">
        <f>IF(I62=K62,"",IF(I62=TRUE,J62,L62)&amp;IF(M62=TRUE,N62,"")&amp;P62)</f>
        <v/>
      </c>
      <c r="E62" s="61"/>
      <c r="F62" s="59"/>
      <c r="G62" s="69"/>
      <c r="I62" s="55" t="b">
        <v>0</v>
      </c>
      <c r="J62" s="55" t="str">
        <f>IF(I62=TRUE, "0,2", "")</f>
        <v/>
      </c>
      <c r="K62" s="55" t="b">
        <v>0</v>
      </c>
      <c r="L62" s="55" t="str">
        <f>IF(K62=TRUE, "0,5", "")</f>
        <v/>
      </c>
      <c r="M62" s="55" t="b">
        <v>1</v>
      </c>
      <c r="N62" s="55" t="str">
        <f>IF(M62=TRUE, "S", "")</f>
        <v>S</v>
      </c>
      <c r="O62" s="55" t="b">
        <v>1</v>
      </c>
      <c r="P62" s="55" t="str">
        <f>IF(O62=TRUE, "FS5", "")</f>
        <v>FS5</v>
      </c>
    </row>
    <row r="63" spans="1:18">
      <c r="A63" s="741"/>
      <c r="B63" s="63" t="s">
        <v>53</v>
      </c>
      <c r="C63" s="209"/>
      <c r="D63" s="68" t="str">
        <f>IF(I63=K63,"",IF(M63=O63,"",IF(I63=TRUE,J63&amp;IF(M63=TRUE,N63,P63),IF(K63=TRUE,L63&amp;IF(M63=TRUE,N63,P63),""))))</f>
        <v/>
      </c>
      <c r="E63" s="61"/>
      <c r="F63" s="59"/>
      <c r="G63" s="69"/>
      <c r="I63" s="55" t="b">
        <v>0</v>
      </c>
      <c r="J63" s="55" t="str">
        <f>IF(I63=TRUE, "5P", "")</f>
        <v/>
      </c>
      <c r="K63" s="55" t="b">
        <v>0</v>
      </c>
      <c r="L63" s="55" t="str">
        <f>IF(K63=TRUE, "10P", "")</f>
        <v/>
      </c>
      <c r="M63" s="55" t="b">
        <v>0</v>
      </c>
      <c r="N63" s="55" t="str">
        <f>IF(M63=TRUE, "10", "")</f>
        <v/>
      </c>
      <c r="O63" s="55" t="b">
        <v>1</v>
      </c>
      <c r="P63" s="55" t="str">
        <f>IF(O63=TRUE, "20", "")</f>
        <v>20</v>
      </c>
    </row>
    <row r="64" spans="1:18">
      <c r="A64" s="755" t="s">
        <v>281</v>
      </c>
      <c r="B64" s="63" t="s">
        <v>51</v>
      </c>
      <c r="C64" s="210"/>
      <c r="D64" s="56" t="str">
        <f>IF(I64=TRUE,J64,IF(K64=TRUE,L64,IF(M64=TRUE,N64,IF(O64=TRUE,P64,IF(Q64=TRUE,R64,"")))))</f>
        <v/>
      </c>
      <c r="E64" s="64"/>
      <c r="F64" s="64"/>
      <c r="G64" s="64"/>
      <c r="I64" s="55" t="b">
        <v>0</v>
      </c>
      <c r="J64" s="55" t="str">
        <f>IF(I64=TRUE, "2,5 VA ", "")</f>
        <v/>
      </c>
      <c r="K64" s="55" t="b">
        <v>0</v>
      </c>
      <c r="L64" s="55" t="str">
        <f>IF(K64=TRUE, "5 VA ", "")</f>
        <v/>
      </c>
      <c r="M64" s="55" t="b">
        <v>0</v>
      </c>
      <c r="N64" s="55" t="str">
        <f>IF(M64=TRUE, "10 VA ", "")</f>
        <v/>
      </c>
      <c r="O64" s="55" t="b">
        <v>0</v>
      </c>
      <c r="P64" s="55" t="str">
        <f>IF(O64=TRUE, "15 VA ", "")</f>
        <v/>
      </c>
    </row>
    <row r="65" spans="1:20">
      <c r="A65" s="741"/>
      <c r="B65" s="63" t="s">
        <v>52</v>
      </c>
      <c r="C65" s="210"/>
      <c r="D65" s="56" t="str">
        <f>IF(I65=TRUE,J65,IF(K65=TRUE,L65,IF(M65=TRUE,N65,IF(O65=TRUE,P65,IF(Q65=TRUE,R65,"")))))</f>
        <v/>
      </c>
      <c r="E65" s="64"/>
      <c r="F65" s="64"/>
      <c r="G65" s="64"/>
      <c r="I65" s="55" t="b">
        <v>0</v>
      </c>
      <c r="J65" s="55" t="str">
        <f>IF(I65=TRUE, "2,5 VA ", "")</f>
        <v/>
      </c>
      <c r="K65" s="55" t="b">
        <v>0</v>
      </c>
      <c r="L65" s="55" t="str">
        <f>IF(K65=TRUE, "5 VA ", "")</f>
        <v/>
      </c>
      <c r="M65" s="55" t="b">
        <v>0</v>
      </c>
      <c r="N65" s="55" t="str">
        <f>IF(M65=TRUE, "10 VA ", "")</f>
        <v/>
      </c>
      <c r="O65" s="55" t="b">
        <v>0</v>
      </c>
      <c r="P65" s="55" t="str">
        <f>IF(O65=TRUE, "15 VA ", "")</f>
        <v/>
      </c>
    </row>
    <row r="66" spans="1:20">
      <c r="A66" s="741"/>
      <c r="B66" s="63" t="s">
        <v>53</v>
      </c>
      <c r="C66" s="210"/>
      <c r="D66" s="56" t="str">
        <f>IF(I66=TRUE,J66,IF(K66=TRUE,L66,IF(M66=TRUE,N66,IF(O66=TRUE,P66,IF(Q66=TRUE,R66,"")))))</f>
        <v/>
      </c>
      <c r="E66" s="64"/>
      <c r="F66" s="64"/>
      <c r="G66" s="64"/>
      <c r="I66" s="55" t="b">
        <v>0</v>
      </c>
      <c r="J66" s="55" t="str">
        <f>IF(I66=TRUE, "2,5VA ", "")</f>
        <v/>
      </c>
      <c r="K66" s="55" t="b">
        <v>0</v>
      </c>
      <c r="L66" s="55" t="str">
        <f>IF(K66=TRUE, "5VA ", "")</f>
        <v/>
      </c>
      <c r="M66" s="55" t="b">
        <v>0</v>
      </c>
      <c r="N66" s="55" t="str">
        <f>IF(M66=TRUE, "10VA ", "")</f>
        <v/>
      </c>
      <c r="O66" s="55" t="b">
        <v>0</v>
      </c>
      <c r="P66" s="55" t="str">
        <f>IF(O66=TRUE, "15VA ", "")</f>
        <v/>
      </c>
    </row>
    <row r="67" spans="1:20" hidden="1">
      <c r="A67" s="514"/>
      <c r="B67" s="56"/>
      <c r="C67" s="210"/>
      <c r="D67" s="60"/>
      <c r="E67" s="60"/>
      <c r="F67" s="60"/>
      <c r="G67" s="60"/>
    </row>
    <row r="68" spans="1:20" hidden="1">
      <c r="A68" s="89" t="s">
        <v>288</v>
      </c>
      <c r="B68" s="57"/>
      <c r="C68" s="211" t="str">
        <f>IF('Schutzprüf-Checkliste'!D29/2&lt;61,'Schutzprüf-Checkliste'!D29/2 &amp; " A", "50 A")</f>
        <v>0 A</v>
      </c>
      <c r="D68" s="67"/>
      <c r="E68" s="61"/>
      <c r="F68" s="61"/>
      <c r="G68" s="69"/>
    </row>
    <row r="69" spans="1:20" hidden="1">
      <c r="A69" s="90" t="s">
        <v>283</v>
      </c>
      <c r="B69" s="57"/>
      <c r="C69" s="211" t="str">
        <f>IF('Schutzprüf-Checkliste'!E96="x", "Zählerschrank; ","")&amp; IF('Schutzprüf-Checkliste'!E99="x", " 2. Kern; ","")&amp; IF('Schutzprüf-Checkliste'!E102="x", " Schutzkern","")</f>
        <v/>
      </c>
      <c r="D69" s="67"/>
      <c r="E69" s="61"/>
      <c r="F69" s="61"/>
      <c r="G69" s="69"/>
    </row>
    <row r="70" spans="1:20" hidden="1">
      <c r="A70" s="90"/>
      <c r="B70" s="57"/>
      <c r="C70" s="211"/>
      <c r="D70" s="67"/>
      <c r="E70" s="61"/>
      <c r="F70" s="61"/>
      <c r="G70" s="69"/>
    </row>
    <row r="71" spans="1:20">
      <c r="A71" s="765" t="s">
        <v>289</v>
      </c>
      <c r="B71" s="696"/>
      <c r="C71" s="766"/>
      <c r="D71" s="63"/>
      <c r="E71" s="63"/>
      <c r="F71" s="63"/>
      <c r="G71" s="63"/>
    </row>
    <row r="72" spans="1:20">
      <c r="A72" s="514" t="s">
        <v>290</v>
      </c>
      <c r="B72" s="55" t="s">
        <v>271</v>
      </c>
      <c r="C72" s="119" t="str">
        <f>'Schutzprüf-Checkliste'!J38</f>
        <v/>
      </c>
      <c r="D72" s="193"/>
      <c r="E72" s="63"/>
      <c r="F72" s="63"/>
      <c r="G72" s="63"/>
    </row>
    <row r="73" spans="1:20" ht="32.25" customHeight="1">
      <c r="A73" s="515" t="s">
        <v>272</v>
      </c>
      <c r="B73" s="62"/>
      <c r="C73" s="210" t="s">
        <v>291</v>
      </c>
      <c r="D73" s="147" t="s">
        <v>13</v>
      </c>
      <c r="E73" s="66"/>
      <c r="F73" s="66"/>
      <c r="G73" s="69"/>
    </row>
    <row r="74" spans="1:20">
      <c r="A74" s="760" t="s">
        <v>286</v>
      </c>
      <c r="B74" s="86" t="s">
        <v>54</v>
      </c>
      <c r="C74" s="212"/>
      <c r="D74" s="68"/>
      <c r="E74" s="66"/>
      <c r="F74" s="66"/>
      <c r="G74" s="69"/>
    </row>
    <row r="75" spans="1:20">
      <c r="A75" s="741"/>
      <c r="B75" s="87" t="s">
        <v>55</v>
      </c>
      <c r="C75" s="212"/>
      <c r="D75" s="68"/>
      <c r="E75" s="66"/>
      <c r="F75" s="66"/>
      <c r="G75" s="69"/>
    </row>
    <row r="76" spans="1:20">
      <c r="A76" s="741"/>
      <c r="B76" s="87" t="s">
        <v>56</v>
      </c>
      <c r="C76" s="212"/>
      <c r="D76" s="65"/>
      <c r="E76" s="65"/>
      <c r="F76" s="65"/>
      <c r="G76" s="65"/>
      <c r="I76" s="55" t="b">
        <v>0</v>
      </c>
      <c r="K76" s="55" t="b">
        <v>0</v>
      </c>
      <c r="M76" s="55" t="b">
        <v>0</v>
      </c>
      <c r="O76" s="55" t="b">
        <v>0</v>
      </c>
    </row>
    <row r="77" spans="1:20" ht="23.25" customHeight="1">
      <c r="A77" s="752" t="s">
        <v>292</v>
      </c>
      <c r="B77" s="748"/>
      <c r="C77" s="208">
        <v>2024</v>
      </c>
      <c r="D77" s="65"/>
      <c r="E77" s="65"/>
      <c r="F77" s="65"/>
      <c r="G77" s="65"/>
    </row>
    <row r="78" spans="1:20">
      <c r="A78" s="118" t="s">
        <v>293</v>
      </c>
      <c r="B78" s="55" t="s">
        <v>294</v>
      </c>
      <c r="C78" s="208">
        <f>'Schutzprüf-Checkliste'!D61</f>
        <v>0</v>
      </c>
      <c r="D78" s="136"/>
      <c r="E78" s="136"/>
      <c r="F78" s="136"/>
      <c r="G78" s="65"/>
    </row>
    <row r="79" spans="1:20">
      <c r="A79" s="770" t="s">
        <v>295</v>
      </c>
      <c r="B79" s="200" t="s">
        <v>168</v>
      </c>
      <c r="C79" s="754"/>
      <c r="D79" s="68" t="str">
        <f>IF(I79=K79,"",IF(I79=TRUE,J79&amp;_xlfn.IFS(M79=TRUE,N79,O79=TRUE,P79,Q79=TRUE,R79,S79=TRUE,T79),IF(K79=TRUE,L79&amp;_xlfn.IFS(M79=TRUE,N79,O79=TRUE,P79,Q79=TRUE,R79,S79=TRUE,T79))))</f>
        <v/>
      </c>
      <c r="I79" s="55" t="b">
        <v>0</v>
      </c>
      <c r="J79" s="55" t="str">
        <f>IF(I79=TRUE, "5P", "")</f>
        <v/>
      </c>
      <c r="K79" s="55" t="b">
        <v>0</v>
      </c>
      <c r="L79" s="55" t="str">
        <f>IF(K79=TRUE, "10P", "")</f>
        <v/>
      </c>
      <c r="M79" s="55" t="b">
        <v>0</v>
      </c>
      <c r="N79" s="55" t="str">
        <f>IF(M79=TRUE, "10", "")</f>
        <v/>
      </c>
      <c r="O79" s="55" t="b">
        <v>1</v>
      </c>
      <c r="P79" s="55" t="str">
        <f>IF(O79=TRUE, "20", "")</f>
        <v>20</v>
      </c>
      <c r="Q79" s="55" t="b">
        <v>0</v>
      </c>
      <c r="R79" s="55" t="str">
        <f>IF(Q79=TRUE, "30", "")</f>
        <v/>
      </c>
      <c r="S79" s="55" t="b">
        <v>0</v>
      </c>
      <c r="T79" s="55" t="str">
        <f>IF(S79=TRUE, "60", "")</f>
        <v/>
      </c>
    </row>
    <row r="80" spans="1:20">
      <c r="A80" s="728"/>
      <c r="B80" s="201" t="s">
        <v>296</v>
      </c>
      <c r="C80" s="706"/>
      <c r="D80" s="68" t="str">
        <f>IF(I80=K80,"",IF(I80=TRUE,J80,L80)&amp;IF(M80=TRUE,N80,"")&amp;P80)</f>
        <v/>
      </c>
      <c r="I80" s="55" t="b">
        <v>0</v>
      </c>
      <c r="J80" s="55" t="str">
        <f>IF(I80=TRUE, "0,2", "")</f>
        <v/>
      </c>
      <c r="K80" s="55" t="b">
        <v>0</v>
      </c>
      <c r="L80" s="55" t="str">
        <f>IF(K80=TRUE, "0,5", "")</f>
        <v/>
      </c>
      <c r="M80" s="55" t="b">
        <v>0</v>
      </c>
      <c r="N80" s="55" t="str">
        <f>IF(M80=TRUE, "S", "")</f>
        <v/>
      </c>
      <c r="O80" s="55" t="b">
        <v>0</v>
      </c>
      <c r="P80" s="55" t="str">
        <f>IF(O80=TRUE, "FS5", "")</f>
        <v/>
      </c>
    </row>
    <row r="81" spans="1:20">
      <c r="A81" s="728"/>
      <c r="B81" s="200" t="s">
        <v>168</v>
      </c>
      <c r="C81" s="754"/>
      <c r="D81" s="68" t="str">
        <f>IF(I81=K81,"",IF(I81=TRUE,J81&amp;_xlfn.IFS(M81=TRUE,N81,O81=TRUE,P81,Q81=TRUE,R81,S81=TRUE,T81),IF(K81=TRUE,L81&amp;_xlfn.IFS(M81=TRUE,N81,O81=TRUE,P81,Q81=TRUE,R81,S81=TRUE,T81))))</f>
        <v/>
      </c>
      <c r="I81" s="55" t="b">
        <v>0</v>
      </c>
      <c r="J81" s="55" t="str">
        <f>IF(I81=TRUE, "5P", "")</f>
        <v/>
      </c>
      <c r="K81" s="55" t="b">
        <v>0</v>
      </c>
      <c r="L81" s="55" t="str">
        <f>IF(K81=TRUE, "10P", "")</f>
        <v/>
      </c>
      <c r="M81" s="55" t="b">
        <v>0</v>
      </c>
      <c r="N81" s="55" t="str">
        <f>IF(M81=TRUE, "10", "")</f>
        <v/>
      </c>
      <c r="O81" s="55" t="b">
        <v>0</v>
      </c>
      <c r="P81" s="55" t="str">
        <f>IF(O81=TRUE, "20", "")</f>
        <v/>
      </c>
      <c r="Q81" s="55" t="b">
        <v>0</v>
      </c>
      <c r="R81" s="55" t="str">
        <f>IF(Q81=TRUE, "30", "")</f>
        <v/>
      </c>
      <c r="S81" s="55" t="b">
        <v>0</v>
      </c>
      <c r="T81" s="55" t="str">
        <f>IF(S81=TRUE, "60", "")</f>
        <v/>
      </c>
    </row>
    <row r="82" spans="1:20">
      <c r="A82" s="728"/>
      <c r="B82" s="201" t="s">
        <v>296</v>
      </c>
      <c r="C82" s="706"/>
      <c r="D82" s="68" t="str">
        <f>IF(I82=K82,"",IF(I82=TRUE,J82,L82)&amp;IF(M82=TRUE,N82,"")&amp;P82)</f>
        <v/>
      </c>
      <c r="I82" s="55" t="b">
        <v>0</v>
      </c>
      <c r="J82" s="55" t="str">
        <f>IF(I82=TRUE, "0,2", "")</f>
        <v/>
      </c>
      <c r="K82" s="55" t="b">
        <v>0</v>
      </c>
      <c r="L82" s="55" t="str">
        <f>IF(K82=TRUE, "0,5", "")</f>
        <v/>
      </c>
      <c r="M82" s="55" t="b">
        <v>0</v>
      </c>
      <c r="N82" s="55" t="str">
        <f>IF(M82=TRUE, "S", "")</f>
        <v/>
      </c>
      <c r="O82" s="55" t="b">
        <v>0</v>
      </c>
      <c r="P82" s="55" t="str">
        <f>IF(O82=TRUE, "FS5", "")</f>
        <v/>
      </c>
    </row>
    <row r="83" spans="1:20" ht="15" customHeight="1">
      <c r="A83" s="515"/>
      <c r="B83" s="57"/>
      <c r="C83" s="211"/>
      <c r="D83" s="68" t="str">
        <f>IF(I83=K83,"",IF(I83=TRUE,J83,L83)&amp;IF(M83=TRUE,N83,"")&amp;P83)</f>
        <v/>
      </c>
    </row>
    <row r="84" spans="1:20" ht="18" customHeight="1">
      <c r="A84" s="515"/>
      <c r="B84" s="63" t="s">
        <v>51</v>
      </c>
      <c r="C84" s="210"/>
      <c r="D84" s="56" t="str">
        <f>IF(I84=TRUE,J84,IF(K84=TRUE,L84,IF(M84=TRUE,N84,IF(O84=TRUE,P84,IF(Q84=TRUE,R84,"")))))</f>
        <v/>
      </c>
      <c r="E84" s="64"/>
      <c r="F84" s="64"/>
      <c r="G84" s="64"/>
      <c r="I84" s="55" t="b">
        <v>0</v>
      </c>
      <c r="J84" s="55" t="str">
        <f>IF(I84=TRUE, "2,5VA ", "")</f>
        <v/>
      </c>
      <c r="K84" s="55" t="b">
        <v>0</v>
      </c>
      <c r="L84" s="55" t="str">
        <f>IF(K84=TRUE, "5VA ", "")</f>
        <v/>
      </c>
      <c r="M84" s="55" t="b">
        <v>0</v>
      </c>
      <c r="N84" s="55" t="str">
        <f>IF(M84=TRUE, "10VA ", "")</f>
        <v/>
      </c>
      <c r="O84" s="55" t="b">
        <v>0</v>
      </c>
      <c r="P84" s="55" t="str">
        <f>IF(O84=TRUE, "15VA ", "")</f>
        <v/>
      </c>
    </row>
    <row r="85" spans="1:20">
      <c r="A85" s="515" t="s">
        <v>281</v>
      </c>
      <c r="B85" s="63" t="s">
        <v>52</v>
      </c>
      <c r="C85" s="210"/>
      <c r="D85" s="56" t="str">
        <f>IF(I85=TRUE,J85,IF(K85=TRUE,L85,IF(M85=TRUE,N85,IF(O85=TRUE,P85,IF(Q85=TRUE,R85,"")))))</f>
        <v/>
      </c>
      <c r="E85" s="64"/>
      <c r="F85" s="64"/>
      <c r="G85" s="64"/>
      <c r="I85" s="55" t="b">
        <v>0</v>
      </c>
      <c r="J85" s="55" t="str">
        <f>IF(I85=TRUE, "1VA ", "")</f>
        <v/>
      </c>
      <c r="K85" s="55" t="b">
        <v>0</v>
      </c>
      <c r="L85" s="55" t="str">
        <f>IF(K85=TRUE, "1,25 VA ", "")</f>
        <v/>
      </c>
      <c r="M85" s="55" t="b">
        <v>0</v>
      </c>
      <c r="N85" s="55" t="str">
        <f>IF(M85=TRUE, "2 VA ", "")</f>
        <v/>
      </c>
      <c r="O85" s="55" t="b">
        <v>0</v>
      </c>
      <c r="P85" s="55" t="str">
        <f>IF(O85=TRUE, "2,5 VA ", "")</f>
        <v/>
      </c>
      <c r="Q85" s="55" t="b">
        <v>0</v>
      </c>
      <c r="R85" s="55" t="str">
        <f>IF(Q85=TRUE, "5 VA ", "")</f>
        <v/>
      </c>
      <c r="S85" s="55" t="b">
        <v>0</v>
      </c>
      <c r="T85" s="55" t="str">
        <f>IF(S85=TRUE, "10 VA ", "")</f>
        <v/>
      </c>
    </row>
    <row r="86" spans="1:20" hidden="1">
      <c r="A86" s="515"/>
      <c r="B86" s="57"/>
      <c r="C86" s="211"/>
    </row>
    <row r="87" spans="1:20" hidden="1">
      <c r="A87" s="89" t="s">
        <v>288</v>
      </c>
      <c r="B87" s="57"/>
      <c r="C87" s="211" t="str">
        <f>IF(C78/2&lt;61, 'Schutzprüf-Checkliste'!D61/2 &amp; " A", "50 A")</f>
        <v>0 A</v>
      </c>
    </row>
    <row r="88" spans="1:20" ht="19.5" customHeight="1" thickBot="1">
      <c r="A88" s="374"/>
      <c r="B88" s="375"/>
      <c r="C88" s="376"/>
    </row>
    <row r="89" spans="1:20" ht="15.75" customHeight="1">
      <c r="A89" s="753" t="s">
        <v>297</v>
      </c>
      <c r="B89" s="703"/>
      <c r="C89" s="704"/>
    </row>
    <row r="90" spans="1:20">
      <c r="A90" s="755" t="s">
        <v>298</v>
      </c>
      <c r="B90" s="55" t="s">
        <v>299</v>
      </c>
      <c r="C90" s="88" t="s">
        <v>300</v>
      </c>
    </row>
    <row r="91" spans="1:20">
      <c r="A91" s="741"/>
      <c r="B91" s="55" t="s">
        <v>301</v>
      </c>
      <c r="C91" s="88" t="s">
        <v>300</v>
      </c>
    </row>
    <row r="92" spans="1:20">
      <c r="A92" s="741"/>
      <c r="B92" s="55" t="s">
        <v>302</v>
      </c>
      <c r="C92" s="88" t="s">
        <v>300</v>
      </c>
    </row>
    <row r="93" spans="1:20">
      <c r="A93" s="741"/>
      <c r="B93" s="55" t="s">
        <v>303</v>
      </c>
      <c r="C93" s="88" t="s">
        <v>300</v>
      </c>
    </row>
    <row r="94" spans="1:20" ht="15.75" customHeight="1" thickBot="1">
      <c r="A94" s="514"/>
      <c r="B94" s="55" t="s">
        <v>304</v>
      </c>
      <c r="C94" s="120" t="s">
        <v>305</v>
      </c>
    </row>
    <row r="95" spans="1:20" ht="15.75" hidden="1" customHeight="1">
      <c r="A95" s="753" t="s">
        <v>306</v>
      </c>
      <c r="B95" s="703"/>
      <c r="C95" s="704"/>
    </row>
    <row r="96" spans="1:20" hidden="1">
      <c r="A96" s="345" t="s">
        <v>307</v>
      </c>
      <c r="B96" s="346" t="s">
        <v>271</v>
      </c>
      <c r="C96" s="165" t="s">
        <v>251</v>
      </c>
    </row>
    <row r="97" spans="1:24" hidden="1">
      <c r="A97" s="514" t="s">
        <v>308</v>
      </c>
      <c r="B97" s="55" t="s">
        <v>309</v>
      </c>
      <c r="C97" s="603" t="str">
        <f>IF(Daten!F59="-","",Daten!F59*20*('Schutzprüf-Checkliste'!D61*'Schutzprüf-Checkliste'!D60)/100000)</f>
        <v/>
      </c>
    </row>
    <row r="98" spans="1:24" hidden="1">
      <c r="A98" s="345" t="s">
        <v>310</v>
      </c>
      <c r="B98" s="346"/>
      <c r="C98" s="347" t="str">
        <f>IF(Daten!F59="-", "Kennlinie", "Leistungsschwelle")</f>
        <v>Kennlinie</v>
      </c>
    </row>
    <row r="99" spans="1:24" hidden="1">
      <c r="A99" s="345" t="s">
        <v>311</v>
      </c>
      <c r="B99" s="346" t="s">
        <v>312</v>
      </c>
      <c r="C99" s="347" t="str">
        <f>Daten!F55</f>
        <v>-</v>
      </c>
    </row>
    <row r="100" spans="1:24" hidden="1">
      <c r="A100" s="345" t="s">
        <v>313</v>
      </c>
      <c r="B100" s="346" t="s">
        <v>314</v>
      </c>
      <c r="C100" s="347" t="str">
        <f>Daten!F57</f>
        <v>-</v>
      </c>
    </row>
    <row r="101" spans="1:24" ht="15.75" hidden="1" customHeight="1" thickBot="1">
      <c r="A101" s="345" t="s">
        <v>315</v>
      </c>
      <c r="B101" s="346" t="s">
        <v>316</v>
      </c>
      <c r="C101" s="347" t="str">
        <f>Daten!F104</f>
        <v>-</v>
      </c>
    </row>
    <row r="102" spans="1:24" ht="16.5" hidden="1" customHeight="1" thickBot="1">
      <c r="A102" s="751" t="s">
        <v>317</v>
      </c>
      <c r="B102" s="721"/>
      <c r="C102" s="722"/>
      <c r="D102" s="749" t="s">
        <v>318</v>
      </c>
      <c r="E102" s="748"/>
      <c r="F102" s="748"/>
      <c r="G102" s="748"/>
      <c r="H102" s="748"/>
      <c r="I102" s="748"/>
      <c r="J102" s="748"/>
      <c r="K102" s="748"/>
      <c r="L102" s="748"/>
      <c r="M102" s="748"/>
      <c r="N102" s="748"/>
      <c r="O102" s="748"/>
      <c r="P102" s="748"/>
      <c r="Q102" s="748"/>
      <c r="R102" s="748"/>
      <c r="S102" s="748"/>
      <c r="T102" s="748"/>
      <c r="U102" s="748"/>
      <c r="V102" s="748"/>
      <c r="W102" s="748"/>
      <c r="X102" s="748"/>
    </row>
    <row r="103" spans="1:24" hidden="1">
      <c r="A103" s="121" t="s">
        <v>319</v>
      </c>
      <c r="B103" s="101" t="s">
        <v>320</v>
      </c>
      <c r="C103" s="165" t="str">
        <f>IF('Schutzprüf-Checkliste'!E63="x","x",IF('Schutzprüf-Checkliste'!E63="!","NICHT OK",""))</f>
        <v/>
      </c>
      <c r="D103" s="204" t="str">
        <f>IF('Schutzprüf-Checkliste'!E64="x", "", "x")</f>
        <v>x</v>
      </c>
      <c r="E103" s="100"/>
      <c r="F103" s="55" t="s">
        <v>251</v>
      </c>
    </row>
    <row r="104" spans="1:24" hidden="1">
      <c r="A104" s="121" t="s">
        <v>321</v>
      </c>
      <c r="B104" s="101" t="s">
        <v>320</v>
      </c>
      <c r="C104" s="165" t="str">
        <f>IF('Schutzprüf-Checkliste'!E64="x","x",IF('Schutzprüf-Checkliste'!E64="!","NICHT OK",""))</f>
        <v/>
      </c>
      <c r="D104" s="204"/>
      <c r="E104" s="100"/>
    </row>
    <row r="105" spans="1:24" hidden="1">
      <c r="A105" s="121" t="s">
        <v>322</v>
      </c>
      <c r="B105" s="101" t="s">
        <v>320</v>
      </c>
      <c r="C105" s="165" t="str">
        <f>IF('Schutzprüf-Checkliste'!I70=TRUE,IF(OR('Schutzprüf-Checkliste'!E70="!",'Schutzprüf-Checkliste'!J70="!"),"NICHT OK","x"),"")</f>
        <v/>
      </c>
      <c r="D105" s="135" t="str">
        <f>IF('Schutzprüf-Checkliste'!I70=FALSE, "x", "")</f>
        <v>x</v>
      </c>
      <c r="E105" s="100"/>
    </row>
    <row r="106" spans="1:24" hidden="1">
      <c r="A106" s="121" t="s">
        <v>323</v>
      </c>
      <c r="B106" s="101" t="s">
        <v>320</v>
      </c>
      <c r="C106" s="165" t="str">
        <f>IF('Schutzprüf-Checkliste'!K70=TRUE,IF(OR('Schutzprüf-Checkliste'!E70="!",'Schutzprüf-Checkliste'!L70="!"),"NICHT OK","x"),"")</f>
        <v/>
      </c>
      <c r="D106" s="135"/>
      <c r="E106" s="100"/>
    </row>
    <row r="107" spans="1:24" hidden="1">
      <c r="A107" s="122" t="s">
        <v>324</v>
      </c>
      <c r="B107" s="101" t="s">
        <v>320</v>
      </c>
      <c r="C107" s="165" t="str">
        <f>IF('Schutzprüf-Checkliste'!I71=TRUE,IF(OR('Schutzprüf-Checkliste'!E71="!",'Schutzprüf-Checkliste'!J71="!"),"NICHT OK","x"),"")</f>
        <v/>
      </c>
      <c r="D107" s="135" t="str">
        <f>IF('Schutzprüf-Checkliste'!I71=FALSE, "x", "")</f>
        <v>x</v>
      </c>
      <c r="E107" s="461"/>
    </row>
    <row r="108" spans="1:24" hidden="1">
      <c r="A108" s="122" t="s">
        <v>325</v>
      </c>
      <c r="B108" s="101" t="s">
        <v>320</v>
      </c>
      <c r="C108" s="472" t="str">
        <f>IF('Schutzprüf-Checkliste'!K71=TRUE,IF(OR('Schutzprüf-Checkliste'!E71="!",'Schutzprüf-Checkliste'!L71="!"),"NICHT OK","x"),"")</f>
        <v/>
      </c>
      <c r="D108" s="135"/>
      <c r="E108" s="461"/>
    </row>
    <row r="109" spans="1:24" hidden="1">
      <c r="A109" s="122" t="s">
        <v>326</v>
      </c>
      <c r="B109" s="101" t="s">
        <v>320</v>
      </c>
      <c r="C109" s="165" t="str">
        <f>IF('Schutzprüf-Checkliste'!E74="x","x",IF('Schutzprüf-Checkliste'!E74="!","NICHT OK",""))</f>
        <v/>
      </c>
      <c r="D109" s="204" t="str">
        <f>IF('Schutzprüf-Checkliste'!E74="x", "", "x")</f>
        <v>x</v>
      </c>
      <c r="E109" s="461"/>
    </row>
    <row r="110" spans="1:24" hidden="1">
      <c r="A110" s="122" t="s">
        <v>327</v>
      </c>
      <c r="B110" s="101"/>
      <c r="C110" s="165" t="str">
        <f>IF('Schutzprüf-Checkliste'!E91="x","x","")</f>
        <v/>
      </c>
      <c r="D110" s="204"/>
      <c r="E110" s="461"/>
    </row>
    <row r="111" spans="1:24" hidden="1">
      <c r="A111" s="205" t="s">
        <v>328</v>
      </c>
      <c r="B111" s="206" t="s">
        <v>329</v>
      </c>
      <c r="C111" s="207" t="e">
        <f>"Eigenzeit MS-Leistungsschalter: "&amp;Daten!P107&amp;"(gemessen bei I&gt; L1L2L3, am HiKo des LS)"</f>
        <v>#VALUE!</v>
      </c>
      <c r="D111" s="135"/>
      <c r="E111" s="461"/>
    </row>
    <row r="112" spans="1:24" hidden="1">
      <c r="A112" s="205" t="s">
        <v>330</v>
      </c>
      <c r="B112" s="206" t="s">
        <v>329</v>
      </c>
      <c r="C112" s="207" t="e">
        <f>"Eigenzeit Leistungsschalter ÜEKS: "&amp;Daten!P108&amp;"(gemessen bei U&gt;&gt; L1L2L3, am HiKo des LS)"</f>
        <v>#VALUE!</v>
      </c>
      <c r="D112" s="135"/>
      <c r="E112" s="461"/>
    </row>
    <row r="113" spans="1:21" hidden="1">
      <c r="A113" s="205" t="s">
        <v>331</v>
      </c>
      <c r="B113" s="206" t="s">
        <v>329</v>
      </c>
      <c r="C113" s="207" t="e">
        <f>"Eigenzeit NS-Leistungsschalter: "&amp;'Daten EZE'!P51&amp;" (gemessen bei U&lt;&lt; L1L2L3, am HiKo des LS)"</f>
        <v>#VALUE!</v>
      </c>
      <c r="D113" s="135"/>
      <c r="E113" s="461"/>
    </row>
    <row r="114" spans="1:21" ht="15.75" hidden="1" customHeight="1" thickBot="1">
      <c r="A114" s="122" t="str">
        <f>IF('Schutzprüf-Checkliste'!I72=TRUE, "Abschaltung Leistungsschalter " &amp;'Schutzprüf-Checkliste'!D65&amp;'Schutzprüf-Checkliste'!C67&amp;  " bei Ausfall Messspannung (Spannungswandlerschutzschalter)","")</f>
        <v/>
      </c>
      <c r="B114" s="101" t="s">
        <v>320</v>
      </c>
      <c r="C114" s="165" t="str">
        <f>IF('Schutzprüf-Checkliste'!I72=TRUE,IF(OR('Schutzprüf-Checkliste'!E72="!",'Schutzprüf-Checkliste'!J72="!"),"NICHT OK","x"),"")</f>
        <v/>
      </c>
      <c r="D114" s="166" t="str">
        <f>IF('Schutzprüf-Checkliste'!I72=FALSE, "x", "")</f>
        <v>x</v>
      </c>
      <c r="E114" s="461"/>
    </row>
    <row r="115" spans="1:21" ht="15.75" hidden="1" customHeight="1" thickBot="1">
      <c r="A115" s="122" t="str">
        <f>IF('Schutzprüf-Checkliste'!K72=TRUE, "Abschaltung Leistungsschalter " &amp;'Schutzprüf-Checkliste'!D66&amp;'Schutzprüf-Checkliste'!C68&amp;  " bei Ausfall Messspannung (Spannungswandlerschutzschalter)","")</f>
        <v/>
      </c>
      <c r="B115" s="101" t="s">
        <v>320</v>
      </c>
      <c r="C115" s="165" t="str">
        <f>IF('Schutzprüf-Checkliste'!K72=TRUE,IF(OR('Schutzprüf-Checkliste'!E72="!",'Schutzprüf-Checkliste'!L72="!"),"NICHT OK","x"),"")</f>
        <v/>
      </c>
      <c r="D115" s="473"/>
      <c r="E115" s="461"/>
    </row>
    <row r="116" spans="1:21" ht="15.75" customHeight="1">
      <c r="A116" s="756" t="s">
        <v>332</v>
      </c>
      <c r="B116" s="703"/>
      <c r="C116" s="704"/>
      <c r="D116" s="283"/>
      <c r="E116" s="283"/>
      <c r="F116" s="747" t="s">
        <v>333</v>
      </c>
      <c r="G116" s="748"/>
      <c r="H116" s="748"/>
      <c r="I116" s="748"/>
      <c r="J116" s="748"/>
      <c r="K116" s="748"/>
      <c r="L116" s="748"/>
      <c r="M116" s="748"/>
      <c r="N116" s="748"/>
      <c r="O116" s="748"/>
      <c r="P116" s="748"/>
      <c r="Q116" s="748"/>
      <c r="R116" s="748"/>
      <c r="S116" s="748"/>
      <c r="T116" s="748"/>
      <c r="U116" s="748"/>
    </row>
    <row r="117" spans="1:21" ht="15.75" customHeight="1">
      <c r="A117" s="291" t="s">
        <v>334</v>
      </c>
      <c r="B117" s="291"/>
      <c r="C117" s="295" t="str">
        <f>IF('Schutzprüf-Checkliste'!$K$24=TRUE,'Allgemeine Angaben'!H117,IF('Schutzprüf-Checkliste'!$Q$24="WAHR",'Allgemeine Angaben'!G117, IF('Schutzprüf-Checkliste'!$I$24=TRUE,'Allgemeine Angaben'!F117,"Eingabe falsch")))</f>
        <v>Eingabe falsch</v>
      </c>
      <c r="D117" s="284"/>
      <c r="E117" s="283"/>
      <c r="F117" s="299">
        <v>57.7</v>
      </c>
      <c r="G117" s="298">
        <v>100</v>
      </c>
      <c r="H117" s="297">
        <v>230</v>
      </c>
      <c r="I117" s="55">
        <v>230</v>
      </c>
    </row>
    <row r="118" spans="1:21" ht="15.75" customHeight="1">
      <c r="A118" s="291" t="s">
        <v>335</v>
      </c>
      <c r="B118" s="447" t="s">
        <v>336</v>
      </c>
      <c r="C118" s="295"/>
      <c r="D118" s="284"/>
      <c r="E118" s="283"/>
      <c r="F118" s="296"/>
      <c r="G118" s="446"/>
      <c r="H118" s="295"/>
      <c r="I118" s="448" t="s">
        <v>251</v>
      </c>
    </row>
    <row r="119" spans="1:21" ht="15.75" customHeight="1">
      <c r="A119" s="291" t="s">
        <v>337</v>
      </c>
      <c r="B119" s="291"/>
      <c r="C119" s="295" t="str">
        <f>IF(C118="x",I119,IF('Schutzprüf-Checkliste'!$K$24=TRUE,'Allgemeine Angaben'!H119,IF('Schutzprüf-Checkliste'!$Q$24="WAHR",'Allgemeine Angaben'!G119,IF('Schutzprüf-Checkliste'!$I$24=TRUE,'Allgemeine Angaben'!F119,"Eingabe falsch"))))</f>
        <v>Eingabe falsch</v>
      </c>
      <c r="D119" s="283"/>
      <c r="E119" s="283"/>
      <c r="F119" s="296">
        <v>71.2</v>
      </c>
      <c r="G119" s="446">
        <v>123.7</v>
      </c>
      <c r="H119" s="295">
        <v>284</v>
      </c>
      <c r="I119" s="295">
        <v>250</v>
      </c>
    </row>
    <row r="120" spans="1:21" ht="15.75" customHeight="1">
      <c r="A120" s="291" t="s">
        <v>337</v>
      </c>
      <c r="B120" s="291"/>
      <c r="C120" s="295" t="str">
        <f>IF(C118="x",I120,"")</f>
        <v/>
      </c>
      <c r="D120" s="283"/>
      <c r="E120" s="283"/>
      <c r="F120" s="296"/>
      <c r="G120" s="446"/>
      <c r="H120" s="295">
        <v>284</v>
      </c>
      <c r="I120" s="295">
        <v>284</v>
      </c>
    </row>
    <row r="121" spans="1:21" ht="15.75" customHeight="1">
      <c r="A121" s="291" t="s">
        <v>338</v>
      </c>
      <c r="B121" s="291"/>
      <c r="C121" s="295" t="str">
        <f>IF('Schutzprüf-Checkliste'!$K$24=TRUE,'Allgemeine Angaben'!H121,IF('Schutzprüf-Checkliste'!$Q$24="WAHR",'Allgemeine Angaben'!G121, IF('Schutzprüf-Checkliste'!$I$24=TRUE,'Allgemeine Angaben'!F121,"Eingabe falsch")))</f>
        <v>Eingabe falsch</v>
      </c>
      <c r="D121" s="283"/>
      <c r="E121" s="283"/>
      <c r="F121" s="296">
        <v>46.65</v>
      </c>
      <c r="G121" s="446">
        <v>81.099999999999994</v>
      </c>
      <c r="H121" s="295">
        <v>186.6</v>
      </c>
    </row>
    <row r="122" spans="1:21" ht="15.75" customHeight="1">
      <c r="A122" s="291" t="s">
        <v>339</v>
      </c>
      <c r="B122" s="291"/>
      <c r="C122" s="295" t="str">
        <f>IF('Schutzprüf-Checkliste'!$K$24=TRUE,'Allgemeine Angaben'!H122,IF('Schutzprüf-Checkliste'!$Q$24="WAHR",'Allgemeine Angaben'!G122, IF('Schutzprüf-Checkliste'!$I$24=TRUE,'Allgemeine Angaben'!F122,"Eingabe falsch")))</f>
        <v>Eingabe falsch</v>
      </c>
      <c r="D122" s="283"/>
      <c r="E122" s="283"/>
      <c r="F122" s="294">
        <v>26.24</v>
      </c>
      <c r="G122" s="293">
        <v>45.4</v>
      </c>
      <c r="H122" s="292">
        <v>105.5</v>
      </c>
    </row>
    <row r="123" spans="1:21" ht="15.75" customHeight="1">
      <c r="A123" s="291" t="s">
        <v>340</v>
      </c>
      <c r="B123" s="291"/>
      <c r="C123" s="446"/>
      <c r="D123" s="283"/>
      <c r="E123" s="283"/>
      <c r="F123" s="446"/>
      <c r="G123" s="446"/>
      <c r="H123" s="446"/>
    </row>
    <row r="124" spans="1:21" ht="16.5" hidden="1" customHeight="1" thickBot="1">
      <c r="A124" s="763" t="s">
        <v>341</v>
      </c>
      <c r="B124" s="721"/>
      <c r="C124" s="721"/>
      <c r="D124" s="289" t="s">
        <v>342</v>
      </c>
      <c r="E124" s="283"/>
      <c r="F124" s="446"/>
      <c r="G124" s="446"/>
      <c r="H124" s="446"/>
    </row>
    <row r="125" spans="1:21" ht="16.5" hidden="1" customHeight="1" thickBot="1">
      <c r="A125" s="241" t="s">
        <v>343</v>
      </c>
      <c r="B125" s="287" t="s">
        <v>320</v>
      </c>
      <c r="C125" s="165" t="str">
        <f>IF('Schutzprüf-Checkliste'!E82="x","x",(IF('Schutzprüf-Checkliste'!E82="!","NICHT OK","")))</f>
        <v/>
      </c>
      <c r="D125" s="165" t="str">
        <f>IF('Schutzprüf-Checkliste'!E82="x","","x")</f>
        <v>x</v>
      </c>
      <c r="E125" s="283"/>
      <c r="F125" s="446"/>
      <c r="G125" s="446"/>
      <c r="H125" s="446"/>
    </row>
    <row r="126" spans="1:21" ht="16.5" hidden="1" customHeight="1" thickBot="1">
      <c r="A126" s="751" t="s">
        <v>344</v>
      </c>
      <c r="B126" s="721"/>
      <c r="C126" s="722"/>
      <c r="D126" s="283"/>
      <c r="E126" s="283"/>
      <c r="F126" s="446"/>
      <c r="G126" s="446"/>
      <c r="H126" s="446"/>
    </row>
    <row r="127" spans="1:21" ht="30" hidden="1" customHeight="1">
      <c r="A127" s="761" t="s">
        <v>345</v>
      </c>
      <c r="B127" s="283" t="s">
        <v>346</v>
      </c>
      <c r="C127" s="308" t="s">
        <v>347</v>
      </c>
      <c r="D127" s="283"/>
      <c r="E127" s="290" t="s">
        <v>348</v>
      </c>
      <c r="F127" s="283"/>
      <c r="G127" s="283"/>
      <c r="H127" s="283"/>
    </row>
    <row r="128" spans="1:21" ht="30" hidden="1" customHeight="1">
      <c r="A128" s="748"/>
      <c r="B128" s="283" t="s">
        <v>349</v>
      </c>
      <c r="C128" s="308" t="s">
        <v>350</v>
      </c>
      <c r="D128" s="283"/>
      <c r="E128" s="290"/>
      <c r="F128" s="296"/>
      <c r="G128" s="446"/>
      <c r="H128" s="283"/>
    </row>
    <row r="129" spans="1:8" ht="30" hidden="1" customHeight="1">
      <c r="A129" s="748"/>
      <c r="B129" s="283" t="s">
        <v>304</v>
      </c>
      <c r="C129" s="308" t="s">
        <v>351</v>
      </c>
      <c r="D129" s="283"/>
      <c r="E129" s="283"/>
      <c r="F129" s="296"/>
      <c r="G129" s="446"/>
      <c r="H129" s="283"/>
    </row>
    <row r="130" spans="1:8" ht="30" hidden="1" customHeight="1">
      <c r="A130" s="748"/>
      <c r="B130" s="283" t="s">
        <v>352</v>
      </c>
      <c r="C130" s="308" t="s">
        <v>353</v>
      </c>
      <c r="D130" s="283"/>
      <c r="E130" s="283"/>
      <c r="F130" s="296"/>
      <c r="G130" s="446"/>
      <c r="H130" s="283"/>
    </row>
    <row r="131" spans="1:8" ht="16.5" hidden="1" customHeight="1" thickBot="1">
      <c r="A131" s="516" t="s">
        <v>354</v>
      </c>
      <c r="B131" s="283"/>
      <c r="C131" s="307" t="s">
        <v>355</v>
      </c>
      <c r="D131" s="283"/>
      <c r="E131" s="283"/>
      <c r="F131" s="294"/>
      <c r="G131" s="293"/>
      <c r="H131" s="283"/>
    </row>
    <row r="132" spans="1:8" ht="16.5" hidden="1" customHeight="1" thickBot="1">
      <c r="A132" s="751" t="s">
        <v>356</v>
      </c>
      <c r="B132" s="721"/>
      <c r="C132" s="722"/>
      <c r="D132" s="55" t="s">
        <v>357</v>
      </c>
    </row>
    <row r="133" spans="1:8" hidden="1">
      <c r="A133" s="98" t="s">
        <v>358</v>
      </c>
      <c r="B133" s="99"/>
      <c r="C133" s="151" t="str">
        <f>'Schutzprüf-Checkliste'!C21</f>
        <v/>
      </c>
      <c r="D133" s="119"/>
    </row>
    <row r="134" spans="1:8" hidden="1">
      <c r="A134" s="98" t="s">
        <v>359</v>
      </c>
      <c r="B134" s="99"/>
      <c r="C134" s="317" t="str">
        <f>'Schutzprüf-Checkliste'!C20</f>
        <v/>
      </c>
      <c r="D134" s="119"/>
    </row>
    <row r="135" spans="1:8" hidden="1">
      <c r="A135" s="96" t="s">
        <v>360</v>
      </c>
      <c r="B135" s="97"/>
      <c r="C135" s="163">
        <f>'Schutzprüf-Checkliste'!B9:D9</f>
        <v>0</v>
      </c>
      <c r="D135" s="154"/>
    </row>
    <row r="136" spans="1:8" hidden="1">
      <c r="A136" s="96" t="s">
        <v>361</v>
      </c>
      <c r="B136" s="97"/>
      <c r="C136" s="152">
        <f>'Schutzprüf-Checkliste'!B12</f>
        <v>0</v>
      </c>
      <c r="D136" s="119"/>
    </row>
    <row r="137" spans="1:8" hidden="1">
      <c r="A137" s="92" t="s">
        <v>362</v>
      </c>
      <c r="B137" s="93"/>
      <c r="C137" s="148">
        <f>'Schutzprüf-Checkliste'!B4</f>
        <v>0</v>
      </c>
      <c r="D137" s="134"/>
    </row>
    <row r="138" spans="1:8" hidden="1">
      <c r="A138" s="94" t="s">
        <v>363</v>
      </c>
      <c r="B138" s="95"/>
      <c r="C138" s="149">
        <f>'Schutzprüf-Checkliste'!B7</f>
        <v>46163</v>
      </c>
      <c r="D138" s="134"/>
    </row>
    <row r="139" spans="1:8" hidden="1">
      <c r="A139" s="94" t="s">
        <v>364</v>
      </c>
      <c r="B139" s="95"/>
      <c r="C139" s="150">
        <f>C138+1460</f>
        <v>47623</v>
      </c>
      <c r="D139" s="134"/>
    </row>
    <row r="140" spans="1:8" hidden="1">
      <c r="A140" s="96" t="s">
        <v>365</v>
      </c>
      <c r="B140" s="97"/>
      <c r="C140" s="148" t="str">
        <f>"Schutzschrank, "&amp;IF(ISBLANK('Schutzprüf-Checkliste'!D65),'Schutzprüf-Checkliste'!D66,'Schutzprüf-Checkliste'!D65&amp;IF(ISBLANK('Schutzprüf-Checkliste'!D66),"",", "&amp;'Schutzprüf-Checkliste'!D66))</f>
        <v xml:space="preserve">Schutzschrank, </v>
      </c>
      <c r="D140" s="134"/>
    </row>
    <row r="141" spans="1:8" hidden="1">
      <c r="A141" s="96" t="s">
        <v>366</v>
      </c>
      <c r="B141" s="97"/>
      <c r="C141" s="148" t="str">
        <f>"NSHV; " &amp;'Schutzprüf-Checkliste'!H26</f>
        <v>NSHV; ?</v>
      </c>
      <c r="D141" s="302"/>
    </row>
    <row r="142" spans="1:8" hidden="1"/>
  </sheetData>
  <mergeCells count="33">
    <mergeCell ref="A32:C32"/>
    <mergeCell ref="A90:A93"/>
    <mergeCell ref="A132:C132"/>
    <mergeCell ref="A1:C1"/>
    <mergeCell ref="A74:A76"/>
    <mergeCell ref="A127:A130"/>
    <mergeCell ref="C47:C51"/>
    <mergeCell ref="A124:C124"/>
    <mergeCell ref="A39:B39"/>
    <mergeCell ref="A54:C54"/>
    <mergeCell ref="A126:C126"/>
    <mergeCell ref="A14:C14"/>
    <mergeCell ref="A33:C33"/>
    <mergeCell ref="A71:C71"/>
    <mergeCell ref="C79:C80"/>
    <mergeCell ref="A41:A46"/>
    <mergeCell ref="A26:A31"/>
    <mergeCell ref="A79:A82"/>
    <mergeCell ref="A57:A59"/>
    <mergeCell ref="F116:U116"/>
    <mergeCell ref="D102:X102"/>
    <mergeCell ref="A36:A38"/>
    <mergeCell ref="A102:C102"/>
    <mergeCell ref="A60:B60"/>
    <mergeCell ref="A89:C89"/>
    <mergeCell ref="A77:B77"/>
    <mergeCell ref="C81:C82"/>
    <mergeCell ref="A61:A63"/>
    <mergeCell ref="A116:C116"/>
    <mergeCell ref="A64:A66"/>
    <mergeCell ref="C41:C46"/>
    <mergeCell ref="A47:A51"/>
    <mergeCell ref="A95:C95"/>
  </mergeCells>
  <dataValidations count="5">
    <dataValidation type="list" allowBlank="1" showErrorMessage="1" errorTitle="Richtung eingeben" sqref="C34 C55 C96 D133:D134 D136" xr:uid="{00000000-0002-0000-0200-000000000000}">
      <formula1>$F$103:$F$105</formula1>
    </dataValidation>
    <dataValidation allowBlank="1" showErrorMessage="1" errorTitle="Richtung eingeben" sqref="C97:C101 C103:D115 C125:D125" xr:uid="{00000000-0002-0000-0200-000001000000}"/>
    <dataValidation allowBlank="1" errorTitle="Richtung eingeben" sqref="C72" xr:uid="{00000000-0002-0000-0200-000002000000}"/>
    <dataValidation allowBlank="1" sqref="C52:C53 C63:C66 C69:C70 C84:C86" xr:uid="{00000000-0002-0000-0200-000003000000}"/>
    <dataValidation type="list" allowBlank="1" showInputMessage="1" showErrorMessage="1" sqref="C7" xr:uid="{00000000-0002-0000-0200-000004000000}">
      <formula1>"Gunnar Schäfer, Kevin Koehn"</formula1>
    </dataValidation>
  </dataValidations>
  <hyperlinks>
    <hyperlink ref="U7" r:id="rId1" display="mailto:k.koehn@ges-energietechnik.com" xr:uid="{00000000-0004-0000-0200-000000000000}"/>
  </hyperlinks>
  <pageMargins left="0.7" right="0.7" top="0.78740157499999996" bottom="0.78740157499999996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4" name="Check Box 10">
              <controlPr defaultSize="0" autoFill="0" autoLine="0" autoPict="0">
                <anchor moveWithCells="1">
                  <from>
                    <xdr:col>2</xdr:col>
                    <xdr:colOff>2552700</xdr:colOff>
                    <xdr:row>45</xdr:row>
                    <xdr:rowOff>152400</xdr:rowOff>
                  </from>
                  <to>
                    <xdr:col>2</xdr:col>
                    <xdr:colOff>3181350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5" name="Check Box 12">
              <controlPr defaultSize="0" autoFill="0" autoLine="0" autoPict="0">
                <anchor moveWithCells="1">
                  <from>
                    <xdr:col>2</xdr:col>
                    <xdr:colOff>85725</xdr:colOff>
                    <xdr:row>45</xdr:row>
                    <xdr:rowOff>152400</xdr:rowOff>
                  </from>
                  <to>
                    <xdr:col>2</xdr:col>
                    <xdr:colOff>561975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" name="Check Box 13">
              <controlPr defaultSize="0" autoFill="0" autoLine="0" autoPict="0">
                <anchor moveWithCells="1">
                  <from>
                    <xdr:col>2</xdr:col>
                    <xdr:colOff>1905000</xdr:colOff>
                    <xdr:row>45</xdr:row>
                    <xdr:rowOff>152400</xdr:rowOff>
                  </from>
                  <to>
                    <xdr:col>2</xdr:col>
                    <xdr:colOff>2457450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7" name="Check Box 14">
              <controlPr defaultSize="0" autoFill="0" autoLine="0" autoPict="0">
                <anchor moveWithCells="1">
                  <from>
                    <xdr:col>2</xdr:col>
                    <xdr:colOff>1295400</xdr:colOff>
                    <xdr:row>45</xdr:row>
                    <xdr:rowOff>152400</xdr:rowOff>
                  </from>
                  <to>
                    <xdr:col>2</xdr:col>
                    <xdr:colOff>1809750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8" name="Check Box 15">
              <controlPr defaultSize="0" autoFill="0" autoLine="0" autoPict="0">
                <anchor moveWithCells="1">
                  <from>
                    <xdr:col>2</xdr:col>
                    <xdr:colOff>695325</xdr:colOff>
                    <xdr:row>45</xdr:row>
                    <xdr:rowOff>152400</xdr:rowOff>
                  </from>
                  <to>
                    <xdr:col>2</xdr:col>
                    <xdr:colOff>1228725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9" name="Check Box 32">
              <controlPr defaultSize="0" autoFill="0" autoLine="0" autoPict="0">
                <anchor moveWithCells="1">
                  <from>
                    <xdr:col>2</xdr:col>
                    <xdr:colOff>2552700</xdr:colOff>
                    <xdr:row>47</xdr:row>
                    <xdr:rowOff>123825</xdr:rowOff>
                  </from>
                  <to>
                    <xdr:col>2</xdr:col>
                    <xdr:colOff>3181350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0" name="Check Box 33">
              <controlPr defaultSize="0" autoFill="0" autoLine="0" autoPict="0">
                <anchor moveWithCells="1">
                  <from>
                    <xdr:col>2</xdr:col>
                    <xdr:colOff>85725</xdr:colOff>
                    <xdr:row>47</xdr:row>
                    <xdr:rowOff>133350</xdr:rowOff>
                  </from>
                  <to>
                    <xdr:col>2</xdr:col>
                    <xdr:colOff>561975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1" name="Check Box 34">
              <controlPr defaultSize="0" autoFill="0" autoLine="0" autoPict="0">
                <anchor moveWithCells="1">
                  <from>
                    <xdr:col>2</xdr:col>
                    <xdr:colOff>1905000</xdr:colOff>
                    <xdr:row>47</xdr:row>
                    <xdr:rowOff>133350</xdr:rowOff>
                  </from>
                  <to>
                    <xdr:col>2</xdr:col>
                    <xdr:colOff>2457450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2" name="Check Box 35">
              <controlPr defaultSize="0" autoFill="0" autoLine="0" autoPict="0">
                <anchor moveWithCells="1">
                  <from>
                    <xdr:col>2</xdr:col>
                    <xdr:colOff>1295400</xdr:colOff>
                    <xdr:row>47</xdr:row>
                    <xdr:rowOff>133350</xdr:rowOff>
                  </from>
                  <to>
                    <xdr:col>2</xdr:col>
                    <xdr:colOff>1809750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3" name="Check Box 36">
              <controlPr defaultSize="0" autoFill="0" autoLine="0" autoPict="0">
                <anchor moveWithCells="1">
                  <from>
                    <xdr:col>2</xdr:col>
                    <xdr:colOff>695325</xdr:colOff>
                    <xdr:row>47</xdr:row>
                    <xdr:rowOff>133350</xdr:rowOff>
                  </from>
                  <to>
                    <xdr:col>2</xdr:col>
                    <xdr:colOff>1228725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4" name="Check Box 37">
              <controlPr defaultSize="0" autoFill="0" autoLine="0" autoPict="0">
                <anchor moveWithCells="1">
                  <from>
                    <xdr:col>2</xdr:col>
                    <xdr:colOff>2552700</xdr:colOff>
                    <xdr:row>49</xdr:row>
                    <xdr:rowOff>123825</xdr:rowOff>
                  </from>
                  <to>
                    <xdr:col>2</xdr:col>
                    <xdr:colOff>3181350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5" name="Check Box 38">
              <controlPr defaultSize="0" autoFill="0" autoLine="0" autoPict="0">
                <anchor moveWithCells="1">
                  <from>
                    <xdr:col>2</xdr:col>
                    <xdr:colOff>85725</xdr:colOff>
                    <xdr:row>49</xdr:row>
                    <xdr:rowOff>133350</xdr:rowOff>
                  </from>
                  <to>
                    <xdr:col>2</xdr:col>
                    <xdr:colOff>561975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16" name="Check Box 39">
              <controlPr defaultSize="0" autoFill="0" autoLine="0" autoPict="0">
                <anchor moveWithCells="1">
                  <from>
                    <xdr:col>2</xdr:col>
                    <xdr:colOff>1905000</xdr:colOff>
                    <xdr:row>49</xdr:row>
                    <xdr:rowOff>133350</xdr:rowOff>
                  </from>
                  <to>
                    <xdr:col>2</xdr:col>
                    <xdr:colOff>2457450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17" name="Check Box 40">
              <controlPr defaultSize="0" autoFill="0" autoLine="0" autoPict="0">
                <anchor moveWithCells="1">
                  <from>
                    <xdr:col>2</xdr:col>
                    <xdr:colOff>1295400</xdr:colOff>
                    <xdr:row>49</xdr:row>
                    <xdr:rowOff>133350</xdr:rowOff>
                  </from>
                  <to>
                    <xdr:col>2</xdr:col>
                    <xdr:colOff>1809750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18" name="Check Box 41">
              <controlPr defaultSize="0" autoFill="0" autoLine="0" autoPict="0">
                <anchor moveWithCells="1">
                  <from>
                    <xdr:col>2</xdr:col>
                    <xdr:colOff>695325</xdr:colOff>
                    <xdr:row>49</xdr:row>
                    <xdr:rowOff>133350</xdr:rowOff>
                  </from>
                  <to>
                    <xdr:col>2</xdr:col>
                    <xdr:colOff>1228725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19" name="Check Box 43">
              <controlPr defaultSize="0" autoFill="0" autoLine="0" autoPict="0">
                <anchor moveWithCells="1">
                  <from>
                    <xdr:col>2</xdr:col>
                    <xdr:colOff>1295400</xdr:colOff>
                    <xdr:row>41</xdr:row>
                    <xdr:rowOff>133350</xdr:rowOff>
                  </from>
                  <to>
                    <xdr:col>2</xdr:col>
                    <xdr:colOff>1924050</xdr:colOff>
                    <xdr:row>43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20" name="Check Box 44">
              <controlPr defaultSize="0" autoFill="0" autoLine="0" autoPict="0">
                <anchor moveWithCells="1">
                  <from>
                    <xdr:col>2</xdr:col>
                    <xdr:colOff>685800</xdr:colOff>
                    <xdr:row>40</xdr:row>
                    <xdr:rowOff>9525</xdr:rowOff>
                  </from>
                  <to>
                    <xdr:col>2</xdr:col>
                    <xdr:colOff>1238250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21" name="Check Box 45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19050</xdr:rowOff>
                  </from>
                  <to>
                    <xdr:col>2</xdr:col>
                    <xdr:colOff>590550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22" name="Check Box 46">
              <controlPr defaultSize="0" autoFill="0" autoLine="0" autoPict="0">
                <anchor moveWithCells="1">
                  <from>
                    <xdr:col>2</xdr:col>
                    <xdr:colOff>1295400</xdr:colOff>
                    <xdr:row>43</xdr:row>
                    <xdr:rowOff>133350</xdr:rowOff>
                  </from>
                  <to>
                    <xdr:col>2</xdr:col>
                    <xdr:colOff>1924050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23" name="Check Box 47">
              <controlPr defaultSize="0" autoFill="0" autoLine="0" autoPict="0">
                <anchor moveWithCells="1">
                  <from>
                    <xdr:col>2</xdr:col>
                    <xdr:colOff>685800</xdr:colOff>
                    <xdr:row>41</xdr:row>
                    <xdr:rowOff>152400</xdr:rowOff>
                  </from>
                  <to>
                    <xdr:col>2</xdr:col>
                    <xdr:colOff>1238250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24" name="Check Box 48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152400</xdr:rowOff>
                  </from>
                  <to>
                    <xdr:col>2</xdr:col>
                    <xdr:colOff>590550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25" name="Check Box 49">
              <controlPr defaultSize="0" autoFill="0" autoLine="0" autoPict="0">
                <anchor moveWithCells="1">
                  <from>
                    <xdr:col>2</xdr:col>
                    <xdr:colOff>1905000</xdr:colOff>
                    <xdr:row>43</xdr:row>
                    <xdr:rowOff>133350</xdr:rowOff>
                  </from>
                  <to>
                    <xdr:col>2</xdr:col>
                    <xdr:colOff>2533650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26" name="Check Box 50">
              <controlPr defaultSize="0" autoFill="0" autoLine="0" autoPict="0">
                <anchor moveWithCells="1">
                  <from>
                    <xdr:col>2</xdr:col>
                    <xdr:colOff>1276350</xdr:colOff>
                    <xdr:row>40</xdr:row>
                    <xdr:rowOff>9525</xdr:rowOff>
                  </from>
                  <to>
                    <xdr:col>2</xdr:col>
                    <xdr:colOff>1905000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27" name="Check Box 68">
              <controlPr defaultSize="0" autoFill="0" autoLine="0" autoPict="0">
                <anchor moveWithCells="1">
                  <from>
                    <xdr:col>2</xdr:col>
                    <xdr:colOff>1676400</xdr:colOff>
                    <xdr:row>60</xdr:row>
                    <xdr:rowOff>19050</xdr:rowOff>
                  </from>
                  <to>
                    <xdr:col>2</xdr:col>
                    <xdr:colOff>2152650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28" name="Check Box 69">
              <controlPr defaultSize="0" autoFill="0" autoLine="0" autoPict="0">
                <anchor moveWithCells="1">
                  <from>
                    <xdr:col>2</xdr:col>
                    <xdr:colOff>1095375</xdr:colOff>
                    <xdr:row>60</xdr:row>
                    <xdr:rowOff>19050</xdr:rowOff>
                  </from>
                  <to>
                    <xdr:col>2</xdr:col>
                    <xdr:colOff>1628775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29" name="Check Box 70">
              <controlPr defaultSize="0" autoFill="0" autoLine="0" autoPict="0">
                <anchor moveWithCells="1">
                  <from>
                    <xdr:col>2</xdr:col>
                    <xdr:colOff>19050</xdr:colOff>
                    <xdr:row>60</xdr:row>
                    <xdr:rowOff>0</xdr:rowOff>
                  </from>
                  <to>
                    <xdr:col>2</xdr:col>
                    <xdr:colOff>495300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30" name="Check Box 71">
              <controlPr defaultSize="0" autoFill="0" autoLine="0" autoPict="0">
                <anchor moveWithCells="1">
                  <from>
                    <xdr:col>2</xdr:col>
                    <xdr:colOff>533400</xdr:colOff>
                    <xdr:row>60</xdr:row>
                    <xdr:rowOff>19050</xdr:rowOff>
                  </from>
                  <to>
                    <xdr:col>2</xdr:col>
                    <xdr:colOff>1066800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31" name="Check Box 72">
              <controlPr defaultSize="0" autoFill="0" autoLine="0" autoPict="0">
                <anchor moveWithCells="1">
                  <from>
                    <xdr:col>2</xdr:col>
                    <xdr:colOff>1676400</xdr:colOff>
                    <xdr:row>60</xdr:row>
                    <xdr:rowOff>152400</xdr:rowOff>
                  </from>
                  <to>
                    <xdr:col>2</xdr:col>
                    <xdr:colOff>2152650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32" name="Check Box 73">
              <controlPr defaultSize="0" autoFill="0" autoLine="0" autoPict="0">
                <anchor moveWithCells="1">
                  <from>
                    <xdr:col>2</xdr:col>
                    <xdr:colOff>1104900</xdr:colOff>
                    <xdr:row>60</xdr:row>
                    <xdr:rowOff>152400</xdr:rowOff>
                  </from>
                  <to>
                    <xdr:col>2</xdr:col>
                    <xdr:colOff>1638300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33" name="Check Box 74">
              <controlPr defaultSize="0" autoFill="0" autoLine="0" autoPict="0">
                <anchor moveWithCells="1">
                  <from>
                    <xdr:col>2</xdr:col>
                    <xdr:colOff>19050</xdr:colOff>
                    <xdr:row>60</xdr:row>
                    <xdr:rowOff>152400</xdr:rowOff>
                  </from>
                  <to>
                    <xdr:col>2</xdr:col>
                    <xdr:colOff>495300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34" name="Check Box 75">
              <controlPr defaultSize="0" autoFill="0" autoLine="0" autoPict="0">
                <anchor moveWithCells="1">
                  <from>
                    <xdr:col>2</xdr:col>
                    <xdr:colOff>533400</xdr:colOff>
                    <xdr:row>60</xdr:row>
                    <xdr:rowOff>152400</xdr:rowOff>
                  </from>
                  <to>
                    <xdr:col>2</xdr:col>
                    <xdr:colOff>1066800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35" name="Check Box 84">
              <controlPr defaultSize="0" autoFill="0" autoLine="0" autoPict="0">
                <anchor moveWithCells="1">
                  <from>
                    <xdr:col>2</xdr:col>
                    <xdr:colOff>2657475</xdr:colOff>
                    <xdr:row>78</xdr:row>
                    <xdr:rowOff>38100</xdr:rowOff>
                  </from>
                  <to>
                    <xdr:col>2</xdr:col>
                    <xdr:colOff>2981325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36" name="Check Box 85">
              <controlPr defaultSize="0" autoFill="0" autoLine="0" autoPict="0">
                <anchor moveWithCells="1">
                  <from>
                    <xdr:col>2</xdr:col>
                    <xdr:colOff>2228850</xdr:colOff>
                    <xdr:row>78</xdr:row>
                    <xdr:rowOff>19050</xdr:rowOff>
                  </from>
                  <to>
                    <xdr:col>2</xdr:col>
                    <xdr:colOff>2657475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37" name="Check Box 86">
              <controlPr defaultSize="0" autoFill="0" autoLine="0" autoPict="0">
                <anchor moveWithCells="1">
                  <from>
                    <xdr:col>2</xdr:col>
                    <xdr:colOff>19050</xdr:colOff>
                    <xdr:row>78</xdr:row>
                    <xdr:rowOff>9525</xdr:rowOff>
                  </from>
                  <to>
                    <xdr:col>2</xdr:col>
                    <xdr:colOff>447675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38" name="Check Box 87">
              <controlPr defaultSize="0" autoFill="0" autoLine="0" autoPict="0">
                <anchor moveWithCells="1">
                  <from>
                    <xdr:col>2</xdr:col>
                    <xdr:colOff>523875</xdr:colOff>
                    <xdr:row>78</xdr:row>
                    <xdr:rowOff>28575</xdr:rowOff>
                  </from>
                  <to>
                    <xdr:col>2</xdr:col>
                    <xdr:colOff>838200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39" name="Check Box 88">
              <controlPr defaultSize="0" autoFill="0" autoLine="0" autoPict="0">
                <anchor moveWithCells="1">
                  <from>
                    <xdr:col>2</xdr:col>
                    <xdr:colOff>2990850</xdr:colOff>
                    <xdr:row>78</xdr:row>
                    <xdr:rowOff>28575</xdr:rowOff>
                  </from>
                  <to>
                    <xdr:col>2</xdr:col>
                    <xdr:colOff>3324225</xdr:colOff>
                    <xdr:row>78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40" name="Check Box 89">
              <controlPr defaultSize="0" autoFill="0" autoLine="0" autoPict="0">
                <anchor moveWithCells="1">
                  <from>
                    <xdr:col>2</xdr:col>
                    <xdr:colOff>3371850</xdr:colOff>
                    <xdr:row>78</xdr:row>
                    <xdr:rowOff>9525</xdr:rowOff>
                  </from>
                  <to>
                    <xdr:col>2</xdr:col>
                    <xdr:colOff>3733800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41" name="Check Box 91">
              <controlPr defaultSize="0" autoFill="0" autoLine="0" autoPict="0">
                <anchor moveWithCells="1">
                  <from>
                    <xdr:col>2</xdr:col>
                    <xdr:colOff>1019175</xdr:colOff>
                    <xdr:row>79</xdr:row>
                    <xdr:rowOff>9525</xdr:rowOff>
                  </from>
                  <to>
                    <xdr:col>2</xdr:col>
                    <xdr:colOff>1381125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42" name="Check Box 92">
              <controlPr defaultSize="0" autoFill="0" autoLine="0" autoPict="0">
                <anchor moveWithCells="1">
                  <from>
                    <xdr:col>2</xdr:col>
                    <xdr:colOff>1409700</xdr:colOff>
                    <xdr:row>79</xdr:row>
                    <xdr:rowOff>9525</xdr:rowOff>
                  </from>
                  <to>
                    <xdr:col>2</xdr:col>
                    <xdr:colOff>1781175</xdr:colOff>
                    <xdr:row>79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43" name="Check Box 93">
              <controlPr defaultSize="0" autoFill="0" autoLine="0" autoPict="0">
                <anchor moveWithCells="1">
                  <from>
                    <xdr:col>0</xdr:col>
                    <xdr:colOff>4819650</xdr:colOff>
                    <xdr:row>78</xdr:row>
                    <xdr:rowOff>9525</xdr:rowOff>
                  </from>
                  <to>
                    <xdr:col>0</xdr:col>
                    <xdr:colOff>5172075</xdr:colOff>
                    <xdr:row>78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44" name="Check Box 94">
              <controlPr defaultSize="0" autoFill="0" autoLine="0" autoPict="0">
                <anchor moveWithCells="1">
                  <from>
                    <xdr:col>0</xdr:col>
                    <xdr:colOff>4791075</xdr:colOff>
                    <xdr:row>80</xdr:row>
                    <xdr:rowOff>9525</xdr:rowOff>
                  </from>
                  <to>
                    <xdr:col>0</xdr:col>
                    <xdr:colOff>5172075</xdr:colOff>
                    <xdr:row>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45" name="Check Box 95">
              <controlPr defaultSize="0" autoFill="0" autoLine="0" autoPict="0">
                <anchor moveWithCells="1">
                  <from>
                    <xdr:col>0</xdr:col>
                    <xdr:colOff>4781550</xdr:colOff>
                    <xdr:row>79</xdr:row>
                    <xdr:rowOff>9525</xdr:rowOff>
                  </from>
                  <to>
                    <xdr:col>0</xdr:col>
                    <xdr:colOff>5172075</xdr:colOff>
                    <xdr:row>79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46" name="Check Box 96">
              <controlPr defaultSize="0" autoFill="0" autoLine="0" autoPict="0">
                <anchor moveWithCells="1">
                  <from>
                    <xdr:col>0</xdr:col>
                    <xdr:colOff>4829175</xdr:colOff>
                    <xdr:row>81</xdr:row>
                    <xdr:rowOff>19050</xdr:rowOff>
                  </from>
                  <to>
                    <xdr:col>0</xdr:col>
                    <xdr:colOff>5172075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47" name="Check Box 97">
              <controlPr defaultSize="0" autoFill="0" autoLine="0" autoPict="0">
                <anchor moveWithCells="1">
                  <from>
                    <xdr:col>2</xdr:col>
                    <xdr:colOff>4410075</xdr:colOff>
                    <xdr:row>78</xdr:row>
                    <xdr:rowOff>142875</xdr:rowOff>
                  </from>
                  <to>
                    <xdr:col>2</xdr:col>
                    <xdr:colOff>4886325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48" name="Check Box 98">
              <controlPr defaultSize="0" autoFill="0" autoLine="0" autoPict="0">
                <anchor moveWithCells="1">
                  <from>
                    <xdr:col>2</xdr:col>
                    <xdr:colOff>3838575</xdr:colOff>
                    <xdr:row>78</xdr:row>
                    <xdr:rowOff>142875</xdr:rowOff>
                  </from>
                  <to>
                    <xdr:col>2</xdr:col>
                    <xdr:colOff>4371975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49" name="Check Box 99">
              <controlPr defaultSize="0" autoFill="0" autoLine="0" autoPict="0">
                <anchor moveWithCells="1">
                  <from>
                    <xdr:col>2</xdr:col>
                    <xdr:colOff>2667000</xdr:colOff>
                    <xdr:row>79</xdr:row>
                    <xdr:rowOff>142875</xdr:rowOff>
                  </from>
                  <to>
                    <xdr:col>2</xdr:col>
                    <xdr:colOff>2990850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50" name="Check Box 100">
              <controlPr defaultSize="0" autoFill="0" autoLine="0" autoPict="0">
                <anchor moveWithCells="1">
                  <from>
                    <xdr:col>2</xdr:col>
                    <xdr:colOff>2276475</xdr:colOff>
                    <xdr:row>79</xdr:row>
                    <xdr:rowOff>142875</xdr:rowOff>
                  </from>
                  <to>
                    <xdr:col>2</xdr:col>
                    <xdr:colOff>2657475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51" name="Check Box 101">
              <controlPr defaultSize="0" autoFill="0" autoLine="0" autoPict="0">
                <anchor moveWithCells="1">
                  <from>
                    <xdr:col>2</xdr:col>
                    <xdr:colOff>19050</xdr:colOff>
                    <xdr:row>79</xdr:row>
                    <xdr:rowOff>190500</xdr:rowOff>
                  </from>
                  <to>
                    <xdr:col>2</xdr:col>
                    <xdr:colOff>495300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52" name="Check Box 102">
              <controlPr defaultSize="0" autoFill="0" autoLine="0" autoPict="0">
                <anchor moveWithCells="1">
                  <from>
                    <xdr:col>2</xdr:col>
                    <xdr:colOff>514350</xdr:colOff>
                    <xdr:row>80</xdr:row>
                    <xdr:rowOff>0</xdr:rowOff>
                  </from>
                  <to>
                    <xdr:col>2</xdr:col>
                    <xdr:colOff>1047750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53" name="Check Box 103">
              <controlPr defaultSize="0" autoFill="0" autoLine="0" autoPict="0">
                <anchor moveWithCells="1">
                  <from>
                    <xdr:col>2</xdr:col>
                    <xdr:colOff>3019425</xdr:colOff>
                    <xdr:row>79</xdr:row>
                    <xdr:rowOff>142875</xdr:rowOff>
                  </from>
                  <to>
                    <xdr:col>2</xdr:col>
                    <xdr:colOff>3333750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54" name="Check Box 104">
              <controlPr defaultSize="0" autoFill="0" autoLine="0" autoPict="0">
                <anchor moveWithCells="1">
                  <from>
                    <xdr:col>2</xdr:col>
                    <xdr:colOff>3371850</xdr:colOff>
                    <xdr:row>79</xdr:row>
                    <xdr:rowOff>142875</xdr:rowOff>
                  </from>
                  <to>
                    <xdr:col>2</xdr:col>
                    <xdr:colOff>3733800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55" name="Check Box 105">
              <controlPr defaultSize="0" autoFill="0" autoLine="0" autoPict="0">
                <anchor moveWithCells="1">
                  <from>
                    <xdr:col>2</xdr:col>
                    <xdr:colOff>1000125</xdr:colOff>
                    <xdr:row>81</xdr:row>
                    <xdr:rowOff>9525</xdr:rowOff>
                  </from>
                  <to>
                    <xdr:col>2</xdr:col>
                    <xdr:colOff>1362075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56" name="Check Box 106">
              <controlPr defaultSize="0" autoFill="0" autoLine="0" autoPict="0">
                <anchor moveWithCells="1">
                  <from>
                    <xdr:col>2</xdr:col>
                    <xdr:colOff>1428750</xdr:colOff>
                    <xdr:row>81</xdr:row>
                    <xdr:rowOff>9525</xdr:rowOff>
                  </from>
                  <to>
                    <xdr:col>2</xdr:col>
                    <xdr:colOff>1781175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57" name="Check Box 107">
              <controlPr defaultSize="0" autoFill="0" autoLine="0" autoPict="0">
                <anchor moveWithCells="1">
                  <from>
                    <xdr:col>2</xdr:col>
                    <xdr:colOff>4410075</xdr:colOff>
                    <xdr:row>80</xdr:row>
                    <xdr:rowOff>142875</xdr:rowOff>
                  </from>
                  <to>
                    <xdr:col>2</xdr:col>
                    <xdr:colOff>4886325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58" name="Check Box 108">
              <controlPr defaultSize="0" autoFill="0" autoLine="0" autoPict="0">
                <anchor moveWithCells="1">
                  <from>
                    <xdr:col>2</xdr:col>
                    <xdr:colOff>3838575</xdr:colOff>
                    <xdr:row>80</xdr:row>
                    <xdr:rowOff>142875</xdr:rowOff>
                  </from>
                  <to>
                    <xdr:col>2</xdr:col>
                    <xdr:colOff>4371975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9" name="Check Box 55">
              <controlPr defaultSize="0" autoFill="0" autoLine="0" autoPict="0">
                <anchor moveWithCells="1">
                  <from>
                    <xdr:col>2</xdr:col>
                    <xdr:colOff>1676400</xdr:colOff>
                    <xdr:row>62</xdr:row>
                    <xdr:rowOff>133350</xdr:rowOff>
                  </from>
                  <to>
                    <xdr:col>2</xdr:col>
                    <xdr:colOff>2152650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60" name="Check Box 56">
              <controlPr defaultSize="0" autoFill="0" autoLine="0" autoPict="0">
                <anchor moveWithCells="1">
                  <from>
                    <xdr:col>2</xdr:col>
                    <xdr:colOff>1104900</xdr:colOff>
                    <xdr:row>62</xdr:row>
                    <xdr:rowOff>133350</xdr:rowOff>
                  </from>
                  <to>
                    <xdr:col>2</xdr:col>
                    <xdr:colOff>1638300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1" name="Check Box 57">
              <controlPr defaultSize="0" autoFill="0" autoLine="0" autoPict="0">
                <anchor moveWithCells="1">
                  <from>
                    <xdr:col>2</xdr:col>
                    <xdr:colOff>19050</xdr:colOff>
                    <xdr:row>62</xdr:row>
                    <xdr:rowOff>133350</xdr:rowOff>
                  </from>
                  <to>
                    <xdr:col>2</xdr:col>
                    <xdr:colOff>495300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2" name="Check Box 58">
              <controlPr defaultSize="0" autoFill="0" autoLine="0" autoPict="0">
                <anchor moveWithCells="1">
                  <from>
                    <xdr:col>2</xdr:col>
                    <xdr:colOff>533400</xdr:colOff>
                    <xdr:row>62</xdr:row>
                    <xdr:rowOff>133350</xdr:rowOff>
                  </from>
                  <to>
                    <xdr:col>2</xdr:col>
                    <xdr:colOff>1066800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3" name="Check Box 59">
              <controlPr defaultSize="0" autoFill="0" autoLine="0" autoPict="0">
                <anchor moveWithCells="1">
                  <from>
                    <xdr:col>2</xdr:col>
                    <xdr:colOff>1676400</xdr:colOff>
                    <xdr:row>63</xdr:row>
                    <xdr:rowOff>142875</xdr:rowOff>
                  </from>
                  <to>
                    <xdr:col>2</xdr:col>
                    <xdr:colOff>2152650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4" name="Check Box 60">
              <controlPr defaultSize="0" autoFill="0" autoLine="0" autoPict="0">
                <anchor moveWithCells="1">
                  <from>
                    <xdr:col>2</xdr:col>
                    <xdr:colOff>1104900</xdr:colOff>
                    <xdr:row>63</xdr:row>
                    <xdr:rowOff>142875</xdr:rowOff>
                  </from>
                  <to>
                    <xdr:col>2</xdr:col>
                    <xdr:colOff>1638300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5" name="Check Box 61">
              <controlPr defaultSize="0" autoFill="0" autoLine="0" autoPict="0">
                <anchor moveWithCells="1">
                  <from>
                    <xdr:col>2</xdr:col>
                    <xdr:colOff>19050</xdr:colOff>
                    <xdr:row>63</xdr:row>
                    <xdr:rowOff>142875</xdr:rowOff>
                  </from>
                  <to>
                    <xdr:col>2</xdr:col>
                    <xdr:colOff>495300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6" name="Check Box 62">
              <controlPr defaultSize="0" autoFill="0" autoLine="0" autoPict="0">
                <anchor moveWithCells="1">
                  <from>
                    <xdr:col>2</xdr:col>
                    <xdr:colOff>533400</xdr:colOff>
                    <xdr:row>63</xdr:row>
                    <xdr:rowOff>142875</xdr:rowOff>
                  </from>
                  <to>
                    <xdr:col>2</xdr:col>
                    <xdr:colOff>1066800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7" name="Check Box 63">
              <controlPr defaultSize="0" autoFill="0" autoLine="0" autoPict="0">
                <anchor moveWithCells="1">
                  <from>
                    <xdr:col>2</xdr:col>
                    <xdr:colOff>1676400</xdr:colOff>
                    <xdr:row>64</xdr:row>
                    <xdr:rowOff>142875</xdr:rowOff>
                  </from>
                  <to>
                    <xdr:col>2</xdr:col>
                    <xdr:colOff>2152650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8" name="Check Box 64">
              <controlPr defaultSize="0" autoFill="0" autoLine="0" autoPict="0">
                <anchor moveWithCells="1">
                  <from>
                    <xdr:col>2</xdr:col>
                    <xdr:colOff>1104900</xdr:colOff>
                    <xdr:row>64</xdr:row>
                    <xdr:rowOff>142875</xdr:rowOff>
                  </from>
                  <to>
                    <xdr:col>2</xdr:col>
                    <xdr:colOff>1638300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9" name="Check Box 65">
              <controlPr defaultSize="0" autoFill="0" autoLine="0" autoPict="0">
                <anchor moveWithCells="1">
                  <from>
                    <xdr:col>2</xdr:col>
                    <xdr:colOff>19050</xdr:colOff>
                    <xdr:row>64</xdr:row>
                    <xdr:rowOff>142875</xdr:rowOff>
                  </from>
                  <to>
                    <xdr:col>2</xdr:col>
                    <xdr:colOff>495300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70" name="Check Box 66">
              <controlPr defaultSize="0" autoFill="0" autoLine="0" autoPict="0">
                <anchor moveWithCells="1">
                  <from>
                    <xdr:col>2</xdr:col>
                    <xdr:colOff>533400</xdr:colOff>
                    <xdr:row>64</xdr:row>
                    <xdr:rowOff>142875</xdr:rowOff>
                  </from>
                  <to>
                    <xdr:col>2</xdr:col>
                    <xdr:colOff>1066800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1" name="Check Box 76">
              <controlPr defaultSize="0" autoFill="0" autoLine="0" autoPict="0">
                <anchor moveWithCells="1">
                  <from>
                    <xdr:col>2</xdr:col>
                    <xdr:colOff>2667000</xdr:colOff>
                    <xdr:row>61</xdr:row>
                    <xdr:rowOff>133350</xdr:rowOff>
                  </from>
                  <to>
                    <xdr:col>2</xdr:col>
                    <xdr:colOff>3124200</xdr:colOff>
                    <xdr:row>63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2" name="Check Box 77">
              <controlPr defaultSize="0" autoFill="0" autoLine="0" autoPict="0">
                <anchor moveWithCells="1">
                  <from>
                    <xdr:col>2</xdr:col>
                    <xdr:colOff>2276475</xdr:colOff>
                    <xdr:row>61</xdr:row>
                    <xdr:rowOff>133350</xdr:rowOff>
                  </from>
                  <to>
                    <xdr:col>2</xdr:col>
                    <xdr:colOff>2657475</xdr:colOff>
                    <xdr:row>63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73" name="Check Box 78">
              <controlPr defaultSize="0" autoFill="0" autoLine="0" autoPict="0">
                <anchor moveWithCells="1">
                  <from>
                    <xdr:col>2</xdr:col>
                    <xdr:colOff>19050</xdr:colOff>
                    <xdr:row>61</xdr:row>
                    <xdr:rowOff>142875</xdr:rowOff>
                  </from>
                  <to>
                    <xdr:col>2</xdr:col>
                    <xdr:colOff>495300</xdr:colOff>
                    <xdr:row>63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74" name="Check Box 79">
              <controlPr defaultSize="0" autoFill="0" autoLine="0" autoPict="0">
                <anchor moveWithCells="1">
                  <from>
                    <xdr:col>2</xdr:col>
                    <xdr:colOff>533400</xdr:colOff>
                    <xdr:row>61</xdr:row>
                    <xdr:rowOff>142875</xdr:rowOff>
                  </from>
                  <to>
                    <xdr:col>2</xdr:col>
                    <xdr:colOff>1066800</xdr:colOff>
                    <xdr:row>63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75" name="Check Box 109">
              <controlPr defaultSize="0" autoFill="0" autoLine="0" autoPict="0">
                <anchor moveWithCells="1">
                  <from>
                    <xdr:col>2</xdr:col>
                    <xdr:colOff>1676400</xdr:colOff>
                    <xdr:row>82</xdr:row>
                    <xdr:rowOff>133350</xdr:rowOff>
                  </from>
                  <to>
                    <xdr:col>2</xdr:col>
                    <xdr:colOff>2152650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76" name="Check Box 110">
              <controlPr defaultSize="0" autoFill="0" autoLine="0" autoPict="0">
                <anchor moveWithCells="1">
                  <from>
                    <xdr:col>2</xdr:col>
                    <xdr:colOff>1104900</xdr:colOff>
                    <xdr:row>82</xdr:row>
                    <xdr:rowOff>133350</xdr:rowOff>
                  </from>
                  <to>
                    <xdr:col>2</xdr:col>
                    <xdr:colOff>1638300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77" name="Check Box 111">
              <controlPr defaultSize="0" autoFill="0" autoLine="0" autoPict="0">
                <anchor moveWithCells="1">
                  <from>
                    <xdr:col>2</xdr:col>
                    <xdr:colOff>19050</xdr:colOff>
                    <xdr:row>82</xdr:row>
                    <xdr:rowOff>133350</xdr:rowOff>
                  </from>
                  <to>
                    <xdr:col>2</xdr:col>
                    <xdr:colOff>495300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78" name="Check Box 112">
              <controlPr defaultSize="0" autoFill="0" autoLine="0" autoPict="0">
                <anchor moveWithCells="1">
                  <from>
                    <xdr:col>2</xdr:col>
                    <xdr:colOff>533400</xdr:colOff>
                    <xdr:row>82</xdr:row>
                    <xdr:rowOff>133350</xdr:rowOff>
                  </from>
                  <to>
                    <xdr:col>2</xdr:col>
                    <xdr:colOff>1066800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79" name="Check Box 113">
              <controlPr defaultSize="0" autoFill="0" autoLine="0" autoPict="0">
                <anchor moveWithCells="1">
                  <from>
                    <xdr:col>2</xdr:col>
                    <xdr:colOff>1676400</xdr:colOff>
                    <xdr:row>83</xdr:row>
                    <xdr:rowOff>200025</xdr:rowOff>
                  </from>
                  <to>
                    <xdr:col>2</xdr:col>
                    <xdr:colOff>2152650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80" name="Check Box 114">
              <controlPr defaultSize="0" autoFill="0" autoLine="0" autoPict="0">
                <anchor moveWithCells="1">
                  <from>
                    <xdr:col>2</xdr:col>
                    <xdr:colOff>1104900</xdr:colOff>
                    <xdr:row>83</xdr:row>
                    <xdr:rowOff>190500</xdr:rowOff>
                  </from>
                  <to>
                    <xdr:col>2</xdr:col>
                    <xdr:colOff>1638300</xdr:colOff>
                    <xdr:row>84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81" name="Check Box 115">
              <controlPr defaultSize="0" autoFill="0" autoLine="0" autoPict="0">
                <anchor moveWithCells="1">
                  <from>
                    <xdr:col>2</xdr:col>
                    <xdr:colOff>19050</xdr:colOff>
                    <xdr:row>83</xdr:row>
                    <xdr:rowOff>171450</xdr:rowOff>
                  </from>
                  <to>
                    <xdr:col>2</xdr:col>
                    <xdr:colOff>495300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82" name="Check Box 116">
              <controlPr defaultSize="0" autoFill="0" autoLine="0" autoPict="0">
                <anchor moveWithCells="1">
                  <from>
                    <xdr:col>2</xdr:col>
                    <xdr:colOff>533400</xdr:colOff>
                    <xdr:row>83</xdr:row>
                    <xdr:rowOff>171450</xdr:rowOff>
                  </from>
                  <to>
                    <xdr:col>2</xdr:col>
                    <xdr:colOff>1066800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83" name="Check Box 118">
              <controlPr defaultSize="0" autoFill="0" autoLine="0" autoPict="0">
                <anchor moveWithCells="1">
                  <from>
                    <xdr:col>2</xdr:col>
                    <xdr:colOff>2838450</xdr:colOff>
                    <xdr:row>83</xdr:row>
                    <xdr:rowOff>133350</xdr:rowOff>
                  </from>
                  <to>
                    <xdr:col>2</xdr:col>
                    <xdr:colOff>3314700</xdr:colOff>
                    <xdr:row>84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84" name="Check Box 119">
              <controlPr defaultSize="0" autoFill="0" autoLine="0" autoPict="0">
                <anchor moveWithCells="1">
                  <from>
                    <xdr:col>2</xdr:col>
                    <xdr:colOff>2266950</xdr:colOff>
                    <xdr:row>83</xdr:row>
                    <xdr:rowOff>133350</xdr:rowOff>
                  </from>
                  <to>
                    <xdr:col>2</xdr:col>
                    <xdr:colOff>2800350</xdr:colOff>
                    <xdr:row>84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85" name="Button 122">
              <controlPr defaultSize="0" print="0" autoFill="0" autoPict="0" macro="[0]!Tabelle1.SchreibeNeunTexte">
                <anchor moveWithCells="1" sizeWithCells="1">
                  <from>
                    <xdr:col>2</xdr:col>
                    <xdr:colOff>3867150</xdr:colOff>
                    <xdr:row>117</xdr:row>
                    <xdr:rowOff>19050</xdr:rowOff>
                  </from>
                  <to>
                    <xdr:col>5</xdr:col>
                    <xdr:colOff>0</xdr:colOff>
                    <xdr:row>117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86" name="Button 123">
              <controlPr defaultSize="0" print="0" autoFill="0" autoPict="0" macro="[0]!Tabelle1.SchreibeVierTexte">
                <anchor moveWithCells="1" sizeWithCells="1">
                  <from>
                    <xdr:col>2</xdr:col>
                    <xdr:colOff>838200</xdr:colOff>
                    <xdr:row>122</xdr:row>
                    <xdr:rowOff>19050</xdr:rowOff>
                  </from>
                  <to>
                    <xdr:col>2</xdr:col>
                    <xdr:colOff>5143500</xdr:colOff>
                    <xdr:row>122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/>
  <dimension ref="A1:L189"/>
  <sheetViews>
    <sheetView zoomScale="130" zoomScaleNormal="130" zoomScalePageLayoutView="130" workbookViewId="0">
      <selection activeCell="M184" sqref="M184"/>
    </sheetView>
  </sheetViews>
  <sheetFormatPr baseColWidth="10" defaultRowHeight="12"/>
  <cols>
    <col min="1" max="1" width="11" style="2" customWidth="1"/>
    <col min="2" max="2" width="2.85546875" style="2" customWidth="1"/>
    <col min="3" max="3" width="15" style="2" customWidth="1"/>
    <col min="4" max="4" width="10.140625" style="2" customWidth="1"/>
    <col min="5" max="5" width="3.28515625" style="2" customWidth="1"/>
    <col min="6" max="6" width="7.85546875" style="2" customWidth="1"/>
    <col min="7" max="7" width="12.28515625" style="2" bestFit="1" customWidth="1"/>
    <col min="8" max="8" width="7.5703125" style="2" customWidth="1"/>
    <col min="9" max="9" width="5.7109375" style="604" customWidth="1"/>
    <col min="10" max="10" width="10.5703125" style="2" bestFit="1" customWidth="1"/>
    <col min="11" max="12" width="11.42578125" style="2" customWidth="1"/>
    <col min="13" max="16384" width="11.42578125" style="2"/>
  </cols>
  <sheetData>
    <row r="1" spans="1:10" ht="13.5" customHeight="1">
      <c r="A1" s="913" t="s">
        <v>367</v>
      </c>
      <c r="B1" s="670"/>
      <c r="C1" s="670"/>
      <c r="D1" s="670"/>
      <c r="E1" s="670"/>
      <c r="F1" s="670"/>
      <c r="G1" s="670"/>
      <c r="H1" s="670"/>
      <c r="I1" s="670"/>
      <c r="J1" s="671"/>
    </row>
    <row r="2" spans="1:10" ht="11.25" customHeight="1">
      <c r="A2" s="856" t="s">
        <v>368</v>
      </c>
      <c r="B2" s="670"/>
      <c r="C2" s="670"/>
      <c r="D2" s="670"/>
      <c r="E2" s="670"/>
      <c r="F2" s="670"/>
      <c r="G2" s="670"/>
      <c r="H2" s="670"/>
      <c r="I2" s="670"/>
      <c r="J2" s="671"/>
    </row>
    <row r="3" spans="1:10" ht="12.75" customHeight="1">
      <c r="A3" s="800" t="str">
        <f>IF(OR(COUNTIF($J$167:$J$175,"NICHT OK")&gt;0,$J$182="NICHT OK",$J$169="NICHT OK",$J$170="NICHT OK",$J$171="NICHT OK",$J$172="NICHT OK",$J$173="NICHT OK",$J$174="NICHT OK"),"Station gesperrt - Nicht alle Schutzfunktionen in Ordnung","Prüfer")</f>
        <v>Prüfer</v>
      </c>
      <c r="B3" s="670"/>
      <c r="C3" s="670"/>
      <c r="D3" s="670"/>
      <c r="E3" s="670"/>
      <c r="F3" s="670"/>
      <c r="G3" s="670"/>
      <c r="H3" s="670"/>
      <c r="I3" s="670"/>
      <c r="J3" s="671"/>
    </row>
    <row r="4" spans="1:10" ht="19.5" customHeight="1">
      <c r="A4" s="70"/>
      <c r="B4" s="8"/>
      <c r="C4" s="8" t="s">
        <v>370</v>
      </c>
      <c r="D4" s="461"/>
      <c r="E4" s="9"/>
      <c r="F4" s="10"/>
      <c r="G4" s="11"/>
      <c r="J4" s="54"/>
    </row>
    <row r="5" spans="1:10" ht="12.75" customHeight="1">
      <c r="A5" s="71"/>
      <c r="B5" s="8"/>
      <c r="C5" s="8" t="s">
        <v>371</v>
      </c>
      <c r="D5" s="461"/>
      <c r="E5" s="9"/>
      <c r="F5" s="10"/>
      <c r="G5" s="11"/>
      <c r="H5" s="9"/>
      <c r="I5" s="605"/>
      <c r="J5" s="54"/>
    </row>
    <row r="6" spans="1:10" ht="19.5" customHeight="1">
      <c r="A6" s="72"/>
      <c r="B6" s="462"/>
      <c r="C6" s="462" t="s">
        <v>372</v>
      </c>
      <c r="D6" s="463"/>
      <c r="E6" s="464"/>
      <c r="H6" s="9"/>
      <c r="I6" s="605"/>
      <c r="J6" s="54"/>
    </row>
    <row r="7" spans="1:10" ht="16.5" customHeight="1">
      <c r="A7" s="460" t="s">
        <v>373</v>
      </c>
      <c r="B7" s="461"/>
      <c r="C7" s="864" t="str">
        <f>IF('Allgemeine Angaben'!C7= "Kevin Koehn", 'Allgemeine Angaben'!U7,'Allgemeine Angaben'!H7)</f>
        <v xml:space="preserve">k.koehn@ges-energietechnik.com </v>
      </c>
      <c r="D7" s="773"/>
      <c r="E7" s="773"/>
      <c r="F7" s="838" t="str">
        <f>IF('Allgemeine Angaben'!C8="x", IF(('Allgemeine Angaben'!C137=0),"","Ort der Prüfung:"),"")</f>
        <v/>
      </c>
      <c r="G7" s="778"/>
      <c r="H7" s="859" t="str">
        <f>IF('Allgemeine Angaben'!C8="x",IF(('Allgemeine Angaben'!C137=0),"",'Allgemeine Angaben'!C137),"")</f>
        <v/>
      </c>
      <c r="I7" s="778"/>
      <c r="J7" s="850"/>
    </row>
    <row r="8" spans="1:10" ht="12.75">
      <c r="A8" s="73" t="s">
        <v>374</v>
      </c>
      <c r="B8" s="100"/>
      <c r="C8" s="918" t="str">
        <f>IF('Allgemeine Angaben'!C7= "Kevin Koehn", 'Allgemeine Angaben'!G7,'Allgemeine Angaben'!F7)</f>
        <v>+49 1515 8452716</v>
      </c>
      <c r="D8" s="773"/>
      <c r="E8" s="773"/>
      <c r="F8" s="840" t="s">
        <v>363</v>
      </c>
      <c r="G8" s="773"/>
      <c r="H8" s="841">
        <f>'Allgemeine Angaben'!C138</f>
        <v>46163</v>
      </c>
      <c r="I8" s="780"/>
      <c r="J8" s="686"/>
    </row>
    <row r="9" spans="1:10" ht="12.75">
      <c r="A9" s="74" t="s">
        <v>375</v>
      </c>
      <c r="B9" s="183"/>
      <c r="C9" s="855" t="str">
        <f>'Schutzprüf-Checkliste'!B6</f>
        <v>bitte wählen!</v>
      </c>
      <c r="D9" s="773"/>
      <c r="E9" s="773"/>
      <c r="F9" s="863" t="s">
        <v>364</v>
      </c>
      <c r="G9" s="795"/>
      <c r="H9" s="795"/>
      <c r="I9" s="858">
        <f>'Allgemeine Angaben'!C139</f>
        <v>47623</v>
      </c>
      <c r="J9" s="852"/>
    </row>
    <row r="10" spans="1:10" ht="12" customHeight="1">
      <c r="A10" s="429"/>
      <c r="B10" s="430"/>
      <c r="C10" s="430"/>
      <c r="D10" s="430"/>
      <c r="E10" s="430"/>
      <c r="F10" s="81" t="s">
        <v>376</v>
      </c>
      <c r="G10" s="399"/>
      <c r="H10" s="920" t="str">
        <f>'Allgemeine Angaben'!C5</f>
        <v>2026.5.03.05</v>
      </c>
      <c r="I10" s="788"/>
      <c r="J10" s="888"/>
    </row>
    <row r="11" spans="1:10" ht="12.75" customHeight="1">
      <c r="A11" s="800" t="s">
        <v>377</v>
      </c>
      <c r="B11" s="670"/>
      <c r="C11" s="670"/>
      <c r="D11" s="670"/>
      <c r="E11" s="670"/>
      <c r="F11" s="670"/>
      <c r="G11" s="670"/>
      <c r="H11" s="670"/>
      <c r="I11" s="670"/>
      <c r="J11" s="671"/>
    </row>
    <row r="12" spans="1:10" ht="12.75">
      <c r="A12" s="862" t="s">
        <v>378</v>
      </c>
      <c r="B12" s="670"/>
      <c r="C12" s="670"/>
      <c r="D12" s="670"/>
      <c r="E12" s="671"/>
      <c r="F12" s="862" t="s">
        <v>379</v>
      </c>
      <c r="G12" s="670"/>
      <c r="H12" s="670"/>
      <c r="I12" s="670"/>
      <c r="J12" s="671"/>
    </row>
    <row r="13" spans="1:10" ht="12" customHeight="1">
      <c r="A13" s="824" t="str">
        <f>'Allgemeine Angaben'!C2</f>
        <v>Faber E-Tec GmbH
Bachstraße 21
D-32257 Bünde</v>
      </c>
      <c r="B13" s="696"/>
      <c r="C13" s="696"/>
      <c r="D13" s="696"/>
      <c r="E13" s="697"/>
      <c r="F13" s="860" t="s">
        <v>238</v>
      </c>
      <c r="G13" s="773"/>
      <c r="H13" s="779">
        <f>'Allgemeine Angaben'!C3</f>
        <v>0</v>
      </c>
      <c r="I13" s="780"/>
      <c r="J13" s="686"/>
    </row>
    <row r="14" spans="1:10" ht="12.75">
      <c r="A14" s="673"/>
      <c r="B14" s="773"/>
      <c r="C14" s="773"/>
      <c r="D14" s="773"/>
      <c r="E14" s="686"/>
      <c r="F14" s="860" t="s">
        <v>380</v>
      </c>
      <c r="G14" s="773"/>
      <c r="H14" s="779" t="str">
        <f>'Allgemeine Angaben'!C140</f>
        <v xml:space="preserve">Schutzschrank, </v>
      </c>
      <c r="I14" s="780"/>
      <c r="J14" s="686"/>
    </row>
    <row r="15" spans="1:10" ht="12.75">
      <c r="A15" s="673"/>
      <c r="B15" s="773"/>
      <c r="C15" s="773"/>
      <c r="D15" s="773"/>
      <c r="E15" s="686"/>
      <c r="F15" s="775" t="s">
        <v>358</v>
      </c>
      <c r="G15" s="773"/>
      <c r="H15" s="779">
        <f>IF(ISBLANK('Allgemeine Angaben'!D133),'Schutzprüf-Checkliste'!B11," ")</f>
        <v>0</v>
      </c>
      <c r="I15" s="780"/>
      <c r="J15" s="686"/>
    </row>
    <row r="16" spans="1:10" ht="12.75">
      <c r="A16" s="673"/>
      <c r="B16" s="773"/>
      <c r="C16" s="773"/>
      <c r="D16" s="773"/>
      <c r="E16" s="686"/>
      <c r="F16" s="775" t="s">
        <v>359</v>
      </c>
      <c r="G16" s="773"/>
      <c r="H16" s="779">
        <f>IF(ISBLANK('Allgemeine Angaben'!D134),'Schutzprüf-Checkliste'!B10," ")</f>
        <v>0</v>
      </c>
      <c r="I16" s="780"/>
      <c r="J16" s="686"/>
    </row>
    <row r="17" spans="1:10" ht="12.75">
      <c r="A17" s="673"/>
      <c r="B17" s="773"/>
      <c r="C17" s="773"/>
      <c r="D17" s="773"/>
      <c r="E17" s="686"/>
      <c r="F17" s="861" t="s">
        <v>360</v>
      </c>
      <c r="G17" s="773"/>
      <c r="H17" s="779" t="str">
        <f>'Schutzprüf-Checkliste'!B9</f>
        <v>Symap compact +F3/Stucke</v>
      </c>
      <c r="I17" s="780"/>
      <c r="J17" s="686"/>
    </row>
    <row r="18" spans="1:10" ht="12.75">
      <c r="A18" s="673"/>
      <c r="B18" s="773"/>
      <c r="C18" s="773"/>
      <c r="D18" s="773"/>
      <c r="E18" s="686"/>
      <c r="F18" s="860" t="s">
        <v>361</v>
      </c>
      <c r="G18" s="773"/>
      <c r="H18" s="779">
        <f>IF(ISBLANK('Allgemeine Angaben'!D136),'Allgemeine Angaben'!C136," ")</f>
        <v>0</v>
      </c>
      <c r="I18" s="780"/>
      <c r="J18" s="686"/>
    </row>
    <row r="19" spans="1:10" ht="12.75">
      <c r="A19" s="674"/>
      <c r="B19" s="679"/>
      <c r="C19" s="679"/>
      <c r="D19" s="679"/>
      <c r="E19" s="680"/>
      <c r="F19" s="786" t="s">
        <v>239</v>
      </c>
      <c r="G19" s="773"/>
      <c r="H19" s="779" t="str">
        <f>'Allgemeine Angaben'!C4</f>
        <v>24 VDC</v>
      </c>
      <c r="I19" s="780"/>
      <c r="J19" s="686"/>
    </row>
    <row r="20" spans="1:10" ht="12.75">
      <c r="A20" s="921" t="str">
        <f>"Uc = "&amp;'Schutzprüf-Checkliste'!D60&amp;" kV"&amp;IF('Schutzprüf-Checkliste'!H27="kein Trafo",""," - Trafostellung: "&amp;'Schutzprüf-Checkliste'!D57&amp;" UNS = "&amp;'Schutzprüf-Checkliste'!D60/'Schutzprüf-Checkliste'!H27&amp;" kV")</f>
        <v>Uc =  kV</v>
      </c>
      <c r="B20" s="843"/>
      <c r="C20" s="843"/>
      <c r="D20" s="843"/>
      <c r="E20" s="922"/>
      <c r="F20" s="786" t="s">
        <v>381</v>
      </c>
      <c r="G20" s="773"/>
      <c r="H20" s="773"/>
      <c r="I20" s="790" t="s">
        <v>382</v>
      </c>
      <c r="J20" s="686"/>
    </row>
    <row r="21" spans="1:10" ht="12.75" customHeight="1">
      <c r="A21" s="789" t="s">
        <v>383</v>
      </c>
      <c r="B21" s="784"/>
      <c r="C21" s="784"/>
      <c r="D21" s="784"/>
      <c r="E21" s="785"/>
      <c r="F21" s="431"/>
      <c r="G21" s="771" t="s">
        <v>384</v>
      </c>
      <c r="H21" s="679"/>
      <c r="I21" s="679"/>
      <c r="J21" s="680"/>
    </row>
    <row r="22" spans="1:10" ht="12.75" hidden="1" customHeight="1">
      <c r="A22" s="800"/>
      <c r="B22" s="670"/>
      <c r="C22" s="670"/>
      <c r="D22" s="670"/>
      <c r="E22" s="670"/>
      <c r="F22" s="670"/>
      <c r="G22" s="670"/>
      <c r="H22" s="670"/>
      <c r="I22" s="670"/>
      <c r="J22" s="671"/>
    </row>
    <row r="23" spans="1:10" ht="12.75" hidden="1">
      <c r="A23" s="796"/>
      <c r="B23" s="671"/>
      <c r="C23" s="3"/>
      <c r="D23" s="215"/>
      <c r="E23" s="215"/>
      <c r="F23" s="529"/>
      <c r="G23" s="182"/>
      <c r="H23" s="180"/>
      <c r="I23" s="606"/>
      <c r="J23" s="181"/>
    </row>
    <row r="24" spans="1:10" ht="15" hidden="1" customHeight="1">
      <c r="A24" s="782"/>
      <c r="B24" s="570"/>
      <c r="C24" s="217"/>
      <c r="D24" s="537"/>
      <c r="E24" s="535"/>
      <c r="F24" s="537"/>
      <c r="G24" s="190"/>
      <c r="H24" s="187"/>
      <c r="I24" s="607"/>
      <c r="J24" s="536"/>
    </row>
    <row r="25" spans="1:10" ht="15" hidden="1" customHeight="1">
      <c r="A25" s="673"/>
      <c r="B25" s="570"/>
      <c r="C25" s="217"/>
      <c r="D25" s="537"/>
      <c r="E25" s="535"/>
      <c r="F25" s="351"/>
      <c r="G25" s="351"/>
      <c r="H25" s="10"/>
      <c r="I25" s="608"/>
      <c r="J25" s="536"/>
    </row>
    <row r="26" spans="1:10" ht="15" hidden="1" customHeight="1">
      <c r="A26" s="674"/>
      <c r="B26" s="570"/>
      <c r="C26" s="217"/>
      <c r="D26" s="537"/>
      <c r="E26" s="535"/>
      <c r="F26" s="351"/>
      <c r="G26" s="351"/>
      <c r="H26" s="218"/>
      <c r="I26" s="609"/>
      <c r="J26" s="536"/>
    </row>
    <row r="27" spans="1:10" ht="13.5" hidden="1" customHeight="1">
      <c r="A27" s="848"/>
      <c r="B27" s="843"/>
      <c r="C27" s="517"/>
      <c r="D27" s="842"/>
      <c r="E27" s="843"/>
      <c r="F27" s="843"/>
      <c r="G27" s="843"/>
      <c r="H27" s="843"/>
      <c r="I27" s="610"/>
      <c r="J27" s="348"/>
    </row>
    <row r="28" spans="1:10" ht="13.5" hidden="1" customHeight="1">
      <c r="A28" s="548"/>
      <c r="B28" s="105"/>
      <c r="C28" s="105"/>
      <c r="D28" s="887"/>
      <c r="E28" s="788"/>
      <c r="F28" s="788"/>
      <c r="G28" s="788"/>
      <c r="H28" s="788"/>
      <c r="I28" s="788"/>
      <c r="J28" s="888"/>
    </row>
    <row r="29" spans="1:10" ht="12" hidden="1" customHeight="1">
      <c r="A29" s="917"/>
      <c r="B29" s="778"/>
      <c r="C29" s="849"/>
      <c r="D29" s="778"/>
      <c r="E29" s="778"/>
      <c r="F29" s="778"/>
      <c r="G29" s="778"/>
      <c r="H29" s="778"/>
      <c r="I29" s="778"/>
      <c r="J29" s="850"/>
    </row>
    <row r="30" spans="1:10" ht="13.5" hidden="1" customHeight="1">
      <c r="A30" s="202"/>
      <c r="B30" s="203"/>
      <c r="C30" s="895"/>
      <c r="D30" s="679"/>
      <c r="E30" s="679"/>
      <c r="F30" s="679"/>
      <c r="G30" s="679"/>
      <c r="H30" s="679"/>
      <c r="I30" s="679"/>
      <c r="J30" s="680"/>
    </row>
    <row r="31" spans="1:10" ht="13.5" hidden="1" customHeight="1">
      <c r="A31" s="796"/>
      <c r="B31" s="671"/>
      <c r="C31" s="3"/>
      <c r="D31" s="215"/>
      <c r="E31" s="215"/>
      <c r="F31" s="529"/>
      <c r="G31" s="182"/>
      <c r="H31" s="180"/>
      <c r="I31" s="606"/>
      <c r="J31" s="181"/>
    </row>
    <row r="32" spans="1:10" ht="15" hidden="1" customHeight="1">
      <c r="A32" s="782"/>
      <c r="B32" s="570"/>
      <c r="C32" s="570"/>
      <c r="D32" s="373"/>
      <c r="E32" s="535"/>
      <c r="F32" s="537"/>
      <c r="G32" s="190"/>
      <c r="H32" s="832"/>
      <c r="I32" s="611"/>
      <c r="J32" s="536"/>
    </row>
    <row r="33" spans="1:10" ht="15" hidden="1" customHeight="1">
      <c r="A33" s="673"/>
      <c r="B33" s="570"/>
      <c r="C33" s="570"/>
      <c r="D33" s="373"/>
      <c r="E33" s="535"/>
      <c r="F33" s="537"/>
      <c r="G33" s="190"/>
      <c r="H33" s="773"/>
      <c r="I33" s="612"/>
      <c r="J33" s="536"/>
    </row>
    <row r="34" spans="1:10" ht="15" hidden="1" customHeight="1">
      <c r="A34" s="674"/>
      <c r="B34" s="570"/>
      <c r="C34" s="570"/>
      <c r="D34" s="373"/>
      <c r="E34" s="553"/>
      <c r="F34" s="537"/>
      <c r="G34" s="190"/>
      <c r="H34" s="679"/>
      <c r="I34" s="613"/>
      <c r="J34" s="536"/>
    </row>
    <row r="35" spans="1:10" ht="13.5" hidden="1" customHeight="1">
      <c r="A35" s="530"/>
      <c r="B35" s="523"/>
      <c r="C35" s="104"/>
      <c r="D35" s="787"/>
      <c r="E35" s="788"/>
      <c r="F35" s="788"/>
      <c r="G35" s="788"/>
      <c r="H35" s="788"/>
      <c r="I35" s="614"/>
      <c r="J35" s="227"/>
    </row>
    <row r="36" spans="1:10" ht="13.5" hidden="1" customHeight="1">
      <c r="A36" s="916"/>
      <c r="B36" s="793"/>
      <c r="C36" s="793"/>
      <c r="D36" s="851"/>
      <c r="E36" s="795"/>
      <c r="F36" s="795"/>
      <c r="G36" s="795"/>
      <c r="H36" s="795"/>
      <c r="I36" s="795"/>
      <c r="J36" s="852"/>
    </row>
    <row r="37" spans="1:10" ht="13.5" hidden="1" customHeight="1">
      <c r="A37" s="777"/>
      <c r="B37" s="778"/>
      <c r="C37" s="778"/>
      <c r="D37" s="857"/>
      <c r="E37" s="778"/>
      <c r="F37" s="778"/>
      <c r="G37" s="778"/>
      <c r="H37" s="174"/>
      <c r="I37" s="615"/>
      <c r="J37" s="352"/>
    </row>
    <row r="38" spans="1:10" ht="25.5" hidden="1" customHeight="1">
      <c r="A38" s="911"/>
      <c r="B38" s="679"/>
      <c r="C38" s="829"/>
      <c r="D38" s="679"/>
      <c r="E38" s="679"/>
      <c r="F38" s="679"/>
      <c r="G38" s="679"/>
      <c r="H38" s="679"/>
      <c r="I38" s="679"/>
      <c r="J38" s="680"/>
    </row>
    <row r="39" spans="1:10" ht="13.5" hidden="1" customHeight="1">
      <c r="A39" s="796"/>
      <c r="B39" s="671"/>
      <c r="C39" s="3"/>
      <c r="D39" s="215"/>
      <c r="E39" s="216"/>
      <c r="F39" s="3"/>
      <c r="G39" s="182"/>
      <c r="H39" s="180"/>
      <c r="I39" s="606"/>
      <c r="J39" s="181"/>
    </row>
    <row r="40" spans="1:10" ht="15" hidden="1" customHeight="1">
      <c r="A40" s="782"/>
      <c r="B40" s="570"/>
      <c r="C40" s="570"/>
      <c r="D40" s="537"/>
      <c r="E40" s="535"/>
      <c r="F40" s="537"/>
      <c r="G40" s="190"/>
      <c r="H40" s="832"/>
      <c r="I40" s="611"/>
      <c r="J40" s="536"/>
    </row>
    <row r="41" spans="1:10" ht="15" hidden="1" customHeight="1">
      <c r="A41" s="673"/>
      <c r="B41" s="570"/>
      <c r="C41" s="570"/>
      <c r="D41" s="537"/>
      <c r="E41" s="554"/>
      <c r="F41" s="518"/>
      <c r="G41" s="198"/>
      <c r="H41" s="773"/>
      <c r="I41" s="612"/>
      <c r="J41" s="556"/>
    </row>
    <row r="42" spans="1:10" ht="15" hidden="1" customHeight="1">
      <c r="A42" s="674"/>
      <c r="B42" s="570"/>
      <c r="C42" s="570"/>
      <c r="D42" s="537"/>
      <c r="E42" s="553"/>
      <c r="F42" s="521"/>
      <c r="G42" s="199"/>
      <c r="H42" s="679"/>
      <c r="I42" s="613"/>
      <c r="J42" s="559"/>
    </row>
    <row r="43" spans="1:10" ht="13.5" hidden="1" customHeight="1">
      <c r="A43" s="530"/>
      <c r="B43" s="523"/>
      <c r="C43" s="104"/>
      <c r="D43" s="794"/>
      <c r="E43" s="795"/>
      <c r="F43" s="795"/>
      <c r="G43" s="795"/>
      <c r="H43" s="795"/>
      <c r="I43" s="614"/>
      <c r="J43" s="219"/>
    </row>
    <row r="44" spans="1:10" ht="13.5" hidden="1" customHeight="1">
      <c r="A44" s="792"/>
      <c r="B44" s="793"/>
      <c r="C44" s="793"/>
      <c r="D44" s="851"/>
      <c r="E44" s="795"/>
      <c r="F44" s="795"/>
      <c r="G44" s="795"/>
      <c r="H44" s="795"/>
      <c r="I44" s="795"/>
      <c r="J44" s="852"/>
    </row>
    <row r="45" spans="1:10" ht="25.5" hidden="1" customHeight="1">
      <c r="A45" s="353"/>
      <c r="B45" s="354"/>
      <c r="C45" s="783"/>
      <c r="D45" s="784"/>
      <c r="E45" s="784"/>
      <c r="F45" s="784"/>
      <c r="G45" s="784"/>
      <c r="H45" s="784"/>
      <c r="I45" s="784"/>
      <c r="J45" s="785"/>
    </row>
    <row r="46" spans="1:10" hidden="1">
      <c r="A46" s="141"/>
      <c r="B46" s="184"/>
      <c r="C46" s="220"/>
      <c r="D46" s="220"/>
      <c r="E46" s="220"/>
      <c r="F46" s="220"/>
      <c r="G46" s="220"/>
      <c r="H46" s="220"/>
      <c r="I46" s="616"/>
      <c r="J46" s="221"/>
    </row>
    <row r="47" spans="1:10" ht="13.5" hidden="1" customHeight="1">
      <c r="A47" s="800"/>
      <c r="B47" s="670"/>
      <c r="C47" s="670"/>
      <c r="D47" s="670"/>
      <c r="E47" s="670"/>
      <c r="F47" s="670"/>
      <c r="G47" s="670"/>
      <c r="H47" s="670"/>
      <c r="I47" s="670"/>
      <c r="J47" s="671"/>
    </row>
    <row r="48" spans="1:10" ht="13.5" hidden="1" customHeight="1">
      <c r="A48" s="796"/>
      <c r="B48" s="670"/>
      <c r="C48" s="671"/>
      <c r="D48" s="3"/>
      <c r="E48" s="791"/>
      <c r="F48" s="670"/>
      <c r="G48" s="3"/>
      <c r="H48" s="3"/>
      <c r="I48" s="617"/>
      <c r="J48" s="3"/>
    </row>
    <row r="49" spans="1:10" ht="13.5" hidden="1" customHeight="1">
      <c r="A49" s="884"/>
      <c r="B49" s="697"/>
      <c r="C49" s="138"/>
      <c r="D49" s="618"/>
      <c r="E49" s="807"/>
      <c r="F49" s="697"/>
      <c r="G49" s="620"/>
      <c r="H49" s="620"/>
      <c r="I49" s="620"/>
      <c r="J49" s="619"/>
    </row>
    <row r="50" spans="1:10" ht="12.75" hidden="1">
      <c r="A50" s="673"/>
      <c r="B50" s="686"/>
      <c r="C50" s="139"/>
      <c r="D50" s="621"/>
      <c r="E50" s="830"/>
      <c r="F50" s="686"/>
      <c r="G50" s="623"/>
      <c r="H50" s="623"/>
      <c r="I50" s="623"/>
      <c r="J50" s="622"/>
    </row>
    <row r="51" spans="1:10" ht="13.5" hidden="1" customHeight="1">
      <c r="A51" s="674"/>
      <c r="B51" s="680"/>
      <c r="C51" s="140"/>
      <c r="D51" s="624"/>
      <c r="E51" s="804"/>
      <c r="F51" s="680"/>
      <c r="G51" s="781"/>
      <c r="H51" s="679"/>
      <c r="I51" s="679"/>
      <c r="J51" s="680"/>
    </row>
    <row r="52" spans="1:10" ht="12" hidden="1" customHeight="1">
      <c r="A52" s="894"/>
      <c r="B52" s="697"/>
      <c r="C52" s="138"/>
      <c r="D52" s="618"/>
      <c r="E52" s="807"/>
      <c r="F52" s="697"/>
      <c r="G52" s="620"/>
      <c r="H52" s="620"/>
      <c r="I52" s="620"/>
      <c r="J52" s="619"/>
    </row>
    <row r="53" spans="1:10" ht="13.5" hidden="1" customHeight="1">
      <c r="A53" s="673"/>
      <c r="B53" s="686"/>
      <c r="C53" s="139"/>
      <c r="D53" s="621"/>
      <c r="E53" s="830"/>
      <c r="F53" s="686"/>
      <c r="G53" s="623"/>
      <c r="H53" s="623"/>
      <c r="I53" s="623"/>
      <c r="J53" s="622"/>
    </row>
    <row r="54" spans="1:10" ht="12" hidden="1" customHeight="1">
      <c r="A54" s="673"/>
      <c r="B54" s="686"/>
      <c r="C54" s="139"/>
      <c r="D54" s="621"/>
      <c r="E54" s="830"/>
      <c r="F54" s="686"/>
      <c r="G54" s="626"/>
      <c r="H54" s="626"/>
      <c r="I54" s="626"/>
      <c r="J54" s="625"/>
    </row>
    <row r="55" spans="1:10" ht="12.75" hidden="1">
      <c r="A55" s="878"/>
      <c r="B55" s="679"/>
      <c r="C55" s="811"/>
      <c r="D55" s="670"/>
      <c r="E55" s="670"/>
      <c r="F55" s="670"/>
      <c r="G55" s="670"/>
      <c r="H55" s="670"/>
      <c r="I55" s="670"/>
      <c r="J55" s="671"/>
    </row>
    <row r="56" spans="1:10" hidden="1">
      <c r="A56" s="532"/>
      <c r="B56" s="185"/>
      <c r="C56" s="82"/>
      <c r="D56" s="82"/>
      <c r="E56" s="82"/>
      <c r="F56" s="82"/>
      <c r="G56" s="82"/>
      <c r="H56" s="82"/>
      <c r="I56" s="627"/>
      <c r="J56" s="106"/>
    </row>
    <row r="57" spans="1:10" ht="13.5" hidden="1" customHeight="1">
      <c r="A57" s="800"/>
      <c r="B57" s="670"/>
      <c r="C57" s="670"/>
      <c r="D57" s="670"/>
      <c r="E57" s="670"/>
      <c r="F57" s="670"/>
      <c r="G57" s="670"/>
      <c r="H57" s="670"/>
      <c r="I57" s="670"/>
      <c r="J57" s="671"/>
    </row>
    <row r="58" spans="1:10" ht="13.5" hidden="1" customHeight="1">
      <c r="A58" s="836"/>
      <c r="B58" s="671"/>
      <c r="C58" s="877"/>
      <c r="D58" s="670"/>
      <c r="E58" s="670"/>
      <c r="F58" s="671"/>
      <c r="G58" s="15"/>
      <c r="H58" s="15"/>
      <c r="I58" s="628"/>
      <c r="J58" s="15"/>
    </row>
    <row r="59" spans="1:10" ht="13.5" hidden="1" customHeight="1">
      <c r="A59" s="836"/>
      <c r="B59" s="671"/>
      <c r="C59" s="141"/>
      <c r="D59" s="184"/>
      <c r="E59" s="184"/>
      <c r="F59" s="222"/>
      <c r="G59" s="560"/>
      <c r="H59" s="561"/>
      <c r="I59" s="629"/>
      <c r="J59" s="562"/>
    </row>
    <row r="60" spans="1:10" ht="13.5" hidden="1" customHeight="1">
      <c r="A60" s="882"/>
      <c r="B60" s="671"/>
      <c r="C60" s="797"/>
      <c r="D60" s="670"/>
      <c r="E60" s="670"/>
      <c r="F60" s="671"/>
      <c r="G60" s="839"/>
      <c r="H60" s="670"/>
      <c r="I60" s="670"/>
      <c r="J60" s="671"/>
    </row>
    <row r="61" spans="1:10" ht="13.5" hidden="1" customHeight="1">
      <c r="A61" s="815"/>
      <c r="B61" s="671"/>
      <c r="C61" s="223"/>
      <c r="D61" s="224"/>
      <c r="E61" s="899"/>
      <c r="F61" s="671"/>
      <c r="G61" s="560"/>
      <c r="H61" s="561"/>
      <c r="I61" s="629"/>
      <c r="J61" s="562"/>
    </row>
    <row r="62" spans="1:10" ht="13.5" hidden="1" customHeight="1">
      <c r="A62" s="815"/>
      <c r="B62" s="670"/>
      <c r="C62" s="670"/>
      <c r="D62" s="670"/>
      <c r="E62" s="670"/>
      <c r="F62" s="670"/>
      <c r="G62" s="670"/>
      <c r="H62" s="670"/>
      <c r="I62" s="670"/>
      <c r="J62" s="671"/>
    </row>
    <row r="63" spans="1:10" ht="13.5" customHeight="1">
      <c r="A63" s="800" t="s">
        <v>385</v>
      </c>
      <c r="B63" s="670"/>
      <c r="C63" s="670"/>
      <c r="D63" s="670"/>
      <c r="E63" s="670"/>
      <c r="F63" s="670"/>
      <c r="G63" s="670"/>
      <c r="H63" s="670"/>
      <c r="I63" s="670"/>
      <c r="J63" s="671"/>
    </row>
    <row r="64" spans="1:10" ht="13.5" customHeight="1">
      <c r="A64" s="796" t="s">
        <v>386</v>
      </c>
      <c r="B64" s="671"/>
      <c r="C64" s="3" t="s">
        <v>387</v>
      </c>
      <c r="D64" s="791" t="s">
        <v>388</v>
      </c>
      <c r="E64" s="670"/>
      <c r="F64" s="3" t="s">
        <v>389</v>
      </c>
      <c r="G64" s="3" t="s">
        <v>387</v>
      </c>
      <c r="H64" s="3" t="s">
        <v>390</v>
      </c>
      <c r="I64" s="617" t="s">
        <v>391</v>
      </c>
      <c r="J64" s="3" t="s">
        <v>392</v>
      </c>
    </row>
    <row r="65" spans="1:10" ht="13.5" customHeight="1">
      <c r="A65" s="817" t="s">
        <v>299</v>
      </c>
      <c r="B65" s="696"/>
      <c r="C65" s="1"/>
      <c r="D65" s="802" t="str">
        <f>Daten!K90</f>
        <v>-</v>
      </c>
      <c r="E65" s="697"/>
      <c r="F65" s="575" t="s">
        <v>161</v>
      </c>
      <c r="G65" s="525" t="str">
        <f>Daten!L27</f>
        <v>-</v>
      </c>
      <c r="H65" s="525" t="str">
        <f>Daten!L28</f>
        <v>-</v>
      </c>
      <c r="I65" s="630" t="e">
        <f>Daten!H27</f>
        <v>#VALUE!</v>
      </c>
      <c r="J65" s="524" t="str">
        <f>Daten!L90</f>
        <v>-</v>
      </c>
    </row>
    <row r="66" spans="1:10" ht="13.5" customHeight="1">
      <c r="A66" s="772" t="s">
        <v>393</v>
      </c>
      <c r="B66" s="773"/>
      <c r="C66" s="525" t="e">
        <f>IF(ISBLANK('Allgemeine Angaben'!C78),"-",TEXT(Daten!F27*'Allgemeine Angaben'!C78,"#,0#\ A"))</f>
        <v>#VALUE!</v>
      </c>
      <c r="D66" s="773"/>
      <c r="E66" s="686"/>
      <c r="F66" s="572" t="s">
        <v>164</v>
      </c>
      <c r="G66" s="525" t="str">
        <f>Daten!L29</f>
        <v>-</v>
      </c>
      <c r="H66" s="525" t="str">
        <f>Daten!L30</f>
        <v>-</v>
      </c>
      <c r="I66" s="630" t="e">
        <f>Daten!H29</f>
        <v>#VALUE!</v>
      </c>
      <c r="J66" s="526" t="str">
        <f>Daten!L91</f>
        <v>-</v>
      </c>
    </row>
    <row r="67" spans="1:10" ht="13.5" customHeight="1">
      <c r="A67" s="772" t="s">
        <v>394</v>
      </c>
      <c r="B67" s="773"/>
      <c r="C67" s="520" t="str">
        <f>Daten!K27</f>
        <v>-</v>
      </c>
      <c r="D67" s="773"/>
      <c r="E67" s="686"/>
      <c r="F67" s="572" t="s">
        <v>165</v>
      </c>
      <c r="G67" s="525" t="str">
        <f>Daten!L31</f>
        <v>-</v>
      </c>
      <c r="H67" s="525" t="str">
        <f>Daten!L32</f>
        <v>-</v>
      </c>
      <c r="I67" s="630" t="e">
        <f>Daten!H31</f>
        <v>#VALUE!</v>
      </c>
      <c r="J67" s="526" t="str">
        <f>Daten!L92</f>
        <v>-</v>
      </c>
    </row>
    <row r="68" spans="1:10" ht="13.5" customHeight="1">
      <c r="A68" s="776" t="s">
        <v>395</v>
      </c>
      <c r="B68" s="679"/>
      <c r="C68" s="799" t="str">
        <f>IF((G65="-"),"-",'Allgemeine Angaben'!C90)</f>
        <v>-</v>
      </c>
      <c r="D68" s="679"/>
      <c r="E68" s="680"/>
      <c r="F68" s="573" t="s">
        <v>396</v>
      </c>
      <c r="G68" s="525" t="str">
        <f>Daten!L33</f>
        <v>-</v>
      </c>
      <c r="H68" s="37" t="str">
        <f>Daten!L34</f>
        <v>-</v>
      </c>
      <c r="I68" s="630" t="e">
        <f>Daten!H33</f>
        <v>#VALUE!</v>
      </c>
      <c r="J68" s="574" t="str">
        <f>Daten!L93</f>
        <v>-</v>
      </c>
    </row>
    <row r="69" spans="1:10" ht="13.5" customHeight="1">
      <c r="A69" s="801" t="s">
        <v>397</v>
      </c>
      <c r="B69" s="671"/>
      <c r="C69" s="774" t="str">
        <f>IF('Schutzprüf-Checkliste'!E63="x",'Schutzprüf-Checkliste'!H65 &amp;"; I-Wandler: "&amp;'Allgemeine Angaben'!C78&amp;"A//"&amp;"1A", "Keine Auslösung MSA")</f>
        <v>Keine Auslösung MSA</v>
      </c>
      <c r="D69" s="670"/>
      <c r="E69" s="670"/>
      <c r="F69" s="670"/>
      <c r="G69" s="670"/>
      <c r="H69" s="670"/>
      <c r="I69" s="670"/>
      <c r="J69" s="671"/>
    </row>
    <row r="70" spans="1:10" ht="13.5" customHeight="1">
      <c r="A70" s="817" t="s">
        <v>301</v>
      </c>
      <c r="B70" s="696"/>
      <c r="C70" s="1"/>
      <c r="D70" s="802" t="str">
        <f>Daten!K94</f>
        <v>-</v>
      </c>
      <c r="E70" s="697"/>
      <c r="F70" s="575" t="s">
        <v>161</v>
      </c>
      <c r="G70" s="525" t="str">
        <f>Daten!L35</f>
        <v>-</v>
      </c>
      <c r="H70" s="525" t="str">
        <f>Daten!L36</f>
        <v>-</v>
      </c>
      <c r="I70" s="630" t="str">
        <f>Daten!H35</f>
        <v>-</v>
      </c>
      <c r="J70" s="524" t="str">
        <f>Daten!L94</f>
        <v>-</v>
      </c>
    </row>
    <row r="71" spans="1:10" ht="13.5" customHeight="1">
      <c r="A71" s="772" t="s">
        <v>393</v>
      </c>
      <c r="B71" s="773"/>
      <c r="C71" s="525" t="str">
        <f>IF((G70="-"),"-",TEXT(Daten!F35*'Allgemeine Angaben'!C78,"#,0#\ A"))</f>
        <v>-</v>
      </c>
      <c r="D71" s="773"/>
      <c r="E71" s="686"/>
      <c r="F71" s="572" t="s">
        <v>164</v>
      </c>
      <c r="G71" s="525" t="str">
        <f>Daten!L37</f>
        <v>-</v>
      </c>
      <c r="H71" s="525" t="str">
        <f>Daten!L38</f>
        <v>-</v>
      </c>
      <c r="I71" s="630" t="str">
        <f>Daten!H37</f>
        <v>-</v>
      </c>
      <c r="J71" s="526" t="str">
        <f>Daten!L95</f>
        <v>-</v>
      </c>
    </row>
    <row r="72" spans="1:10" ht="13.5" customHeight="1">
      <c r="A72" s="772" t="s">
        <v>394</v>
      </c>
      <c r="B72" s="773"/>
      <c r="C72" s="520" t="str">
        <f>Daten!K35</f>
        <v>-</v>
      </c>
      <c r="D72" s="773"/>
      <c r="E72" s="686"/>
      <c r="F72" s="572" t="s">
        <v>165</v>
      </c>
      <c r="G72" s="525" t="str">
        <f>Daten!L39</f>
        <v>-</v>
      </c>
      <c r="H72" s="525" t="str">
        <f>Daten!L40</f>
        <v>-</v>
      </c>
      <c r="I72" s="630" t="str">
        <f>Daten!H39</f>
        <v>-</v>
      </c>
      <c r="J72" s="526" t="str">
        <f>Daten!L96</f>
        <v>-</v>
      </c>
    </row>
    <row r="73" spans="1:10" ht="13.5" customHeight="1">
      <c r="A73" s="776" t="s">
        <v>395</v>
      </c>
      <c r="B73" s="679"/>
      <c r="C73" s="799" t="str">
        <f>IF((G70="-"),"-",'Allgemeine Angaben'!C91)</f>
        <v>-</v>
      </c>
      <c r="D73" s="679"/>
      <c r="E73" s="680"/>
      <c r="F73" s="573" t="s">
        <v>396</v>
      </c>
      <c r="G73" s="525" t="str">
        <f>Daten!L41</f>
        <v>-</v>
      </c>
      <c r="H73" s="37" t="str">
        <f>Daten!L42</f>
        <v>-</v>
      </c>
      <c r="I73" s="630" t="str">
        <f>Daten!H41</f>
        <v>-</v>
      </c>
      <c r="J73" s="574" t="str">
        <f>Daten!L97</f>
        <v>-</v>
      </c>
    </row>
    <row r="74" spans="1:10" ht="13.5" customHeight="1">
      <c r="A74" s="801" t="s">
        <v>397</v>
      </c>
      <c r="B74" s="671"/>
      <c r="C74" s="774" t="str">
        <f>IF((G70="-"),"-",IF('Schutzprüf-Checkliste'!E63="x",'Schutzprüf-Checkliste'!H65&amp;"; I-Wandler: "&amp;'Allgemeine Angaben'!C78&amp;"A//"&amp;"1A","Keine Auslösung MSA"))</f>
        <v>-</v>
      </c>
      <c r="D74" s="670"/>
      <c r="E74" s="670"/>
      <c r="F74" s="670"/>
      <c r="G74" s="670"/>
      <c r="H74" s="670"/>
      <c r="I74" s="670"/>
      <c r="J74" s="671"/>
    </row>
    <row r="75" spans="1:10" ht="13.5" hidden="1" customHeight="1">
      <c r="A75" s="817" t="s">
        <v>398</v>
      </c>
      <c r="B75" s="696"/>
      <c r="C75" s="1"/>
      <c r="D75" s="802" t="str">
        <f>Daten!K98</f>
        <v>-</v>
      </c>
      <c r="E75" s="697"/>
      <c r="F75" s="575" t="s">
        <v>161</v>
      </c>
      <c r="G75" s="525" t="str">
        <f>Daten!L43</f>
        <v>-</v>
      </c>
      <c r="H75" s="525" t="str">
        <f>Daten!L44</f>
        <v>-</v>
      </c>
      <c r="I75" s="630" t="str">
        <f>Daten!H43</f>
        <v>-</v>
      </c>
      <c r="J75" s="524" t="str">
        <f>Daten!L98</f>
        <v>-</v>
      </c>
    </row>
    <row r="76" spans="1:10" ht="13.5" hidden="1" customHeight="1">
      <c r="A76" s="772" t="s">
        <v>393</v>
      </c>
      <c r="B76" s="773"/>
      <c r="C76" s="525" t="str">
        <f>IF((G75="-"),"-",TEXT(Daten!F43*'Allgemeine Angaben'!C78,"#,0#\ A"))</f>
        <v>-</v>
      </c>
      <c r="D76" s="773"/>
      <c r="E76" s="686"/>
      <c r="F76" s="572" t="s">
        <v>164</v>
      </c>
      <c r="G76" s="525" t="str">
        <f>Daten!L45</f>
        <v>-</v>
      </c>
      <c r="H76" s="525" t="str">
        <f>Daten!L46</f>
        <v>-</v>
      </c>
      <c r="I76" s="630" t="str">
        <f>Daten!H45</f>
        <v>-</v>
      </c>
      <c r="J76" s="526" t="str">
        <f>Daten!L99</f>
        <v>-</v>
      </c>
    </row>
    <row r="77" spans="1:10" ht="13.5" hidden="1" customHeight="1">
      <c r="A77" s="772" t="s">
        <v>394</v>
      </c>
      <c r="B77" s="773"/>
      <c r="C77" s="520" t="str">
        <f>Daten!K43</f>
        <v>-</v>
      </c>
      <c r="D77" s="773"/>
      <c r="E77" s="686"/>
      <c r="F77" s="572" t="s">
        <v>165</v>
      </c>
      <c r="G77" s="525" t="str">
        <f>Daten!L47</f>
        <v>-</v>
      </c>
      <c r="H77" s="525" t="str">
        <f>Daten!L48</f>
        <v>-</v>
      </c>
      <c r="I77" s="630" t="str">
        <f>Daten!H47</f>
        <v>-</v>
      </c>
      <c r="J77" s="526" t="str">
        <f>Daten!L100</f>
        <v>-</v>
      </c>
    </row>
    <row r="78" spans="1:10" ht="13.5" hidden="1" customHeight="1">
      <c r="A78" s="776" t="s">
        <v>395</v>
      </c>
      <c r="B78" s="679"/>
      <c r="C78" s="799" t="str">
        <f>IF((G75="-"),"-",IF(ISBLANK('Allgemeine Angaben'!C92),"-",('Allgemeine Angaben'!C92)))</f>
        <v>-</v>
      </c>
      <c r="D78" s="679"/>
      <c r="E78" s="680"/>
      <c r="F78" s="573"/>
      <c r="G78" s="525"/>
      <c r="H78" s="37"/>
      <c r="I78" s="631" t="str">
        <f>Daten!H49</f>
        <v>-</v>
      </c>
      <c r="J78" s="574"/>
    </row>
    <row r="79" spans="1:10" ht="13.5" hidden="1" customHeight="1">
      <c r="A79" s="801" t="s">
        <v>397</v>
      </c>
      <c r="B79" s="671"/>
      <c r="C79" s="774" t="str">
        <f>IF((G75="-"),"-",IF('Schutzprüf-Checkliste'!E63="x",'Schutzprüf-Checkliste'!H65&amp;"; I-Wandler: "&amp;'Allgemeine Angaben'!C78&amp;"A//"&amp;"1A","Keine Auslösung MSA"))</f>
        <v>-</v>
      </c>
      <c r="D79" s="670"/>
      <c r="E79" s="670"/>
      <c r="F79" s="670"/>
      <c r="G79" s="670"/>
      <c r="H79" s="670"/>
      <c r="I79" s="670"/>
      <c r="J79" s="671"/>
    </row>
    <row r="80" spans="1:10" ht="13.5" hidden="1" customHeight="1">
      <c r="A80" s="817" t="s">
        <v>399</v>
      </c>
      <c r="B80" s="696"/>
      <c r="C80" s="1"/>
      <c r="D80" s="802" t="str">
        <f>Daten!K101</f>
        <v>-</v>
      </c>
      <c r="E80" s="697"/>
      <c r="F80" s="575" t="s">
        <v>161</v>
      </c>
      <c r="G80" s="525" t="str">
        <f>Daten!L49</f>
        <v>-</v>
      </c>
      <c r="H80" s="525" t="str">
        <f>Daten!L50</f>
        <v>-</v>
      </c>
      <c r="I80" s="630" t="str">
        <f>Daten!H49</f>
        <v>-</v>
      </c>
      <c r="J80" s="524" t="str">
        <f>Daten!L101</f>
        <v>-</v>
      </c>
    </row>
    <row r="81" spans="1:10" ht="13.5" hidden="1" customHeight="1">
      <c r="A81" s="772" t="s">
        <v>393</v>
      </c>
      <c r="B81" s="773"/>
      <c r="C81" s="525" t="str">
        <f>IF((G80="-"),"-",TEXT(Daten!F49*'Allgemeine Angaben'!C78,"#,0#\ A"))</f>
        <v>-</v>
      </c>
      <c r="D81" s="773"/>
      <c r="E81" s="686"/>
      <c r="F81" s="572" t="s">
        <v>164</v>
      </c>
      <c r="G81" s="525" t="str">
        <f>Daten!L51</f>
        <v>-</v>
      </c>
      <c r="H81" s="525" t="str">
        <f>Daten!L52</f>
        <v>-</v>
      </c>
      <c r="I81" s="630" t="str">
        <f>Daten!H51</f>
        <v>-</v>
      </c>
      <c r="J81" s="526" t="str">
        <f>Daten!L101</f>
        <v>-</v>
      </c>
    </row>
    <row r="82" spans="1:10" ht="13.5" hidden="1" customHeight="1">
      <c r="A82" s="772" t="s">
        <v>394</v>
      </c>
      <c r="B82" s="773"/>
      <c r="C82" s="520" t="str">
        <f>Daten!K49</f>
        <v>-</v>
      </c>
      <c r="D82" s="773"/>
      <c r="E82" s="686"/>
      <c r="F82" s="572" t="s">
        <v>165</v>
      </c>
      <c r="G82" s="525" t="str">
        <f>Daten!L53</f>
        <v>-</v>
      </c>
      <c r="H82" s="525" t="str">
        <f>Daten!L54</f>
        <v>-</v>
      </c>
      <c r="I82" s="630" t="str">
        <f>Daten!H53</f>
        <v>-</v>
      </c>
      <c r="J82" s="526" t="str">
        <f>Daten!L101</f>
        <v>-</v>
      </c>
    </row>
    <row r="83" spans="1:10" ht="13.5" hidden="1" customHeight="1">
      <c r="A83" s="776" t="s">
        <v>395</v>
      </c>
      <c r="B83" s="679"/>
      <c r="C83" s="799" t="str">
        <f>IF((G75="-"),"-",IF(ISBLANK('Allgemeine Angaben'!C93),"-",('Allgemeine Angaben'!C93)))</f>
        <v>-</v>
      </c>
      <c r="D83" s="679"/>
      <c r="E83" s="680"/>
      <c r="F83" s="573"/>
      <c r="G83" s="525"/>
      <c r="H83" s="37"/>
      <c r="I83" s="631"/>
      <c r="J83" s="574"/>
    </row>
    <row r="84" spans="1:10" ht="13.5" hidden="1" customHeight="1">
      <c r="A84" s="801" t="s">
        <v>397</v>
      </c>
      <c r="B84" s="671"/>
      <c r="C84" s="774" t="str">
        <f>IF((G80="-"),"-",IF('Schutzprüf-Checkliste'!E63="x",'Schutzprüf-Checkliste'!H65&amp;"; I-Wandler: "&amp;'Allgemeine Angaben'!C78&amp;"A//"&amp;"1A","Keine Auslösung MSA"))</f>
        <v>-</v>
      </c>
      <c r="D84" s="670"/>
      <c r="E84" s="670"/>
      <c r="F84" s="670"/>
      <c r="G84" s="670"/>
      <c r="H84" s="670"/>
      <c r="I84" s="670"/>
      <c r="J84" s="671"/>
    </row>
    <row r="85" spans="1:10" ht="13.5" hidden="1" customHeight="1">
      <c r="A85" s="534"/>
      <c r="B85" s="531"/>
      <c r="C85" s="543"/>
      <c r="D85" s="543"/>
      <c r="E85" s="543"/>
      <c r="F85" s="543"/>
      <c r="G85" s="543"/>
      <c r="H85" s="543"/>
      <c r="I85" s="632"/>
      <c r="J85" s="544"/>
    </row>
    <row r="86" spans="1:10" ht="12.75" hidden="1" customHeight="1">
      <c r="A86" s="800" t="s">
        <v>400</v>
      </c>
      <c r="B86" s="670"/>
      <c r="C86" s="670"/>
      <c r="D86" s="670"/>
      <c r="E86" s="670"/>
      <c r="F86" s="670"/>
      <c r="G86" s="670"/>
      <c r="H86" s="670"/>
      <c r="I86" s="670"/>
      <c r="J86" s="671"/>
    </row>
    <row r="87" spans="1:10" ht="12.75" hidden="1">
      <c r="A87" s="796" t="s">
        <v>386</v>
      </c>
      <c r="B87" s="671"/>
      <c r="C87" s="3" t="s">
        <v>387</v>
      </c>
      <c r="D87" s="791" t="s">
        <v>388</v>
      </c>
      <c r="E87" s="670"/>
      <c r="F87" s="3" t="s">
        <v>389</v>
      </c>
      <c r="G87" s="3" t="s">
        <v>387</v>
      </c>
      <c r="H87" s="3" t="s">
        <v>390</v>
      </c>
      <c r="I87" s="617" t="s">
        <v>391</v>
      </c>
      <c r="J87" s="3" t="s">
        <v>392</v>
      </c>
    </row>
    <row r="88" spans="1:10" ht="12.75" hidden="1" customHeight="1">
      <c r="A88" s="817" t="s">
        <v>346</v>
      </c>
      <c r="B88" s="696"/>
      <c r="C88" s="1" t="e">
        <f>Daten!K5</f>
        <v>#REF!</v>
      </c>
      <c r="D88" s="802" t="e">
        <f>Daten!K78</f>
        <v>#N/A</v>
      </c>
      <c r="E88" s="697"/>
      <c r="F88" s="575" t="s">
        <v>401</v>
      </c>
      <c r="G88" s="525" t="e">
        <f>Daten!L3</f>
        <v>#REF!</v>
      </c>
      <c r="H88" s="525" t="e">
        <f>Daten!L4</f>
        <v>#REF!</v>
      </c>
      <c r="I88" s="630" t="e">
        <f>Daten!H3</f>
        <v>#REF!</v>
      </c>
      <c r="J88" s="524" t="e">
        <f>Daten!L78</f>
        <v>#N/A</v>
      </c>
    </row>
    <row r="89" spans="1:10" ht="12" hidden="1" customHeight="1">
      <c r="A89" s="772" t="s">
        <v>393</v>
      </c>
      <c r="B89" s="773"/>
      <c r="C89" s="525" t="e">
        <f>TEXT(Daten!I3/100*'Allgemeine Angaben'!$C$40,"0,0#\ kV")</f>
        <v>#REF!</v>
      </c>
      <c r="D89" s="773"/>
      <c r="E89" s="686"/>
      <c r="F89" s="572" t="s">
        <v>402</v>
      </c>
      <c r="G89" s="525" t="e">
        <f>Daten!L5</f>
        <v>#REF!</v>
      </c>
      <c r="H89" s="525" t="e">
        <f>Daten!L6</f>
        <v>#REF!</v>
      </c>
      <c r="I89" s="630" t="e">
        <f>Daten!H5</f>
        <v>#REF!</v>
      </c>
      <c r="J89" s="526" t="e">
        <f>Daten!L79</f>
        <v>#N/A</v>
      </c>
    </row>
    <row r="90" spans="1:10" hidden="1">
      <c r="A90" s="772" t="s">
        <v>394</v>
      </c>
      <c r="B90" s="773"/>
      <c r="C90" s="520" t="e">
        <f>Daten!K3</f>
        <v>#REF!</v>
      </c>
      <c r="D90" s="773"/>
      <c r="E90" s="686"/>
      <c r="F90" s="572" t="s">
        <v>403</v>
      </c>
      <c r="G90" s="525" t="e">
        <f>Daten!L7</f>
        <v>#REF!</v>
      </c>
      <c r="H90" s="525" t="e">
        <f>Daten!L8</f>
        <v>#REF!</v>
      </c>
      <c r="I90" s="630" t="e">
        <f>Daten!H7</f>
        <v>#REF!</v>
      </c>
      <c r="J90" s="526" t="e">
        <f>Daten!L80</f>
        <v>#N/A</v>
      </c>
    </row>
    <row r="91" spans="1:10" ht="24" hidden="1" customHeight="1">
      <c r="A91" s="798" t="s">
        <v>404</v>
      </c>
      <c r="B91" s="679"/>
      <c r="C91" s="868" t="s">
        <v>405</v>
      </c>
      <c r="D91" s="773"/>
      <c r="E91" s="686"/>
      <c r="F91" s="572" t="s">
        <v>396</v>
      </c>
      <c r="G91" s="525" t="e">
        <f>Daten!L9</f>
        <v>#REF!</v>
      </c>
      <c r="H91" s="525" t="e">
        <f>Daten!L10</f>
        <v>#REF!</v>
      </c>
      <c r="I91" s="630" t="e">
        <f>Daten!H9</f>
        <v>#REF!</v>
      </c>
      <c r="J91" s="526" t="e">
        <f>Daten!L81</f>
        <v>#N/A</v>
      </c>
    </row>
    <row r="92" spans="1:10" ht="12" hidden="1" customHeight="1">
      <c r="A92" s="801" t="s">
        <v>397</v>
      </c>
      <c r="B92" s="697"/>
      <c r="C92" s="893" t="b">
        <f>IF('Schutzprüf-Checkliste'!E64="x",'Schutzprüf-Checkliste'!H66,(IF('Schutzprüf-Checkliste'!D66="MS","Keine Auslösung MSA",IF('Schutzprüf-Checkliste'!D66="NS","Keine Auslösung NSHV-LS"))))</f>
        <v>0</v>
      </c>
      <c r="D92" s="696"/>
      <c r="E92" s="696"/>
      <c r="F92" s="696"/>
      <c r="G92" s="696"/>
      <c r="H92" s="696"/>
      <c r="I92" s="696"/>
      <c r="J92" s="697"/>
    </row>
    <row r="93" spans="1:10" ht="12.75" hidden="1">
      <c r="A93" s="674"/>
      <c r="B93" s="680"/>
      <c r="C93" s="873" t="str">
        <f>"Uc = "&amp;'Schutzprüf-Checkliste'!D60&amp;" kV"</f>
        <v>Uc =  kV</v>
      </c>
      <c r="D93" s="679"/>
      <c r="E93" s="679"/>
      <c r="F93" s="679"/>
      <c r="G93" s="679"/>
      <c r="H93" s="679"/>
      <c r="I93" s="679"/>
      <c r="J93" s="680"/>
    </row>
    <row r="94" spans="1:10" ht="12.75" hidden="1" customHeight="1">
      <c r="A94" s="817" t="s">
        <v>349</v>
      </c>
      <c r="B94" s="696"/>
      <c r="C94" s="1" t="e">
        <f>Daten!K13</f>
        <v>#REF!</v>
      </c>
      <c r="D94" s="802" t="e">
        <f>Daten!K82</f>
        <v>#N/A</v>
      </c>
      <c r="E94" s="697"/>
      <c r="F94" s="575" t="s">
        <v>401</v>
      </c>
      <c r="G94" s="525" t="e">
        <f>Daten!L11</f>
        <v>#REF!</v>
      </c>
      <c r="H94" s="525" t="e">
        <f>Daten!L12</f>
        <v>#REF!</v>
      </c>
      <c r="I94" s="630" t="e">
        <f>Daten!H11</f>
        <v>#REF!</v>
      </c>
      <c r="J94" s="524" t="e">
        <f>Daten!L82</f>
        <v>#N/A</v>
      </c>
    </row>
    <row r="95" spans="1:10" ht="12" hidden="1" customHeight="1">
      <c r="A95" s="772" t="s">
        <v>393</v>
      </c>
      <c r="B95" s="773"/>
      <c r="C95" s="525" t="e">
        <f>TEXT(Daten!I11/100*'Allgemeine Angaben'!$C$40,"0,0#\ kV")</f>
        <v>#REF!</v>
      </c>
      <c r="D95" s="773"/>
      <c r="E95" s="686"/>
      <c r="F95" s="572" t="s">
        <v>402</v>
      </c>
      <c r="G95" s="525" t="e">
        <f>Daten!L13</f>
        <v>#REF!</v>
      </c>
      <c r="H95" s="525" t="e">
        <f>Daten!L14</f>
        <v>#REF!</v>
      </c>
      <c r="I95" s="630" t="e">
        <f>Daten!H13</f>
        <v>#REF!</v>
      </c>
      <c r="J95" s="526" t="e">
        <f>Daten!L83</f>
        <v>#N/A</v>
      </c>
    </row>
    <row r="96" spans="1:10" hidden="1">
      <c r="A96" s="772" t="s">
        <v>394</v>
      </c>
      <c r="B96" s="773"/>
      <c r="C96" s="520" t="e">
        <f>Daten!K11</f>
        <v>#REF!</v>
      </c>
      <c r="D96" s="773"/>
      <c r="E96" s="686"/>
      <c r="F96" s="572" t="s">
        <v>403</v>
      </c>
      <c r="G96" s="525" t="e">
        <f>Daten!L15</f>
        <v>#REF!</v>
      </c>
      <c r="H96" s="525" t="e">
        <f>Daten!L16</f>
        <v>#REF!</v>
      </c>
      <c r="I96" s="630" t="e">
        <f>Daten!H15</f>
        <v>#REF!</v>
      </c>
      <c r="J96" s="526" t="e">
        <f>Daten!L84</f>
        <v>#N/A</v>
      </c>
    </row>
    <row r="97" spans="1:10" ht="24" hidden="1" customHeight="1">
      <c r="A97" s="798" t="s">
        <v>404</v>
      </c>
      <c r="B97" s="679"/>
      <c r="C97" s="868" t="s">
        <v>405</v>
      </c>
      <c r="D97" s="773"/>
      <c r="E97" s="686"/>
      <c r="F97" s="572" t="s">
        <v>396</v>
      </c>
      <c r="G97" s="525" t="e">
        <f>Daten!L17</f>
        <v>#REF!</v>
      </c>
      <c r="H97" s="525" t="e">
        <f>Daten!L18</f>
        <v>#REF!</v>
      </c>
      <c r="I97" s="630" t="e">
        <f>Daten!H17</f>
        <v>#REF!</v>
      </c>
      <c r="J97" s="526" t="e">
        <f>Daten!L85</f>
        <v>#N/A</v>
      </c>
    </row>
    <row r="98" spans="1:10" ht="12" hidden="1" customHeight="1">
      <c r="A98" s="801" t="s">
        <v>397</v>
      </c>
      <c r="B98" s="697"/>
      <c r="C98" s="809" t="b">
        <f>IF('Schutzprüf-Checkliste'!E64="x",'Schutzprüf-Checkliste'!H66,(IF('Schutzprüf-Checkliste'!D66="MS","Keine Auslösung MSA",IF('Schutzprüf-Checkliste'!D66="NS","Keine Auslösung NSHV-LS"))))</f>
        <v>0</v>
      </c>
      <c r="D98" s="696"/>
      <c r="E98" s="696"/>
      <c r="F98" s="696"/>
      <c r="G98" s="696"/>
      <c r="H98" s="696"/>
      <c r="I98" s="696"/>
      <c r="J98" s="697"/>
    </row>
    <row r="99" spans="1:10" ht="12.75" hidden="1">
      <c r="A99" s="674"/>
      <c r="B99" s="680"/>
      <c r="C99" s="822" t="str">
        <f>"Uc = "&amp;'Schutzprüf-Checkliste'!D60&amp;" kV"</f>
        <v>Uc =  kV</v>
      </c>
      <c r="D99" s="679"/>
      <c r="E99" s="679"/>
      <c r="F99" s="679"/>
      <c r="G99" s="679"/>
      <c r="H99" s="679"/>
      <c r="I99" s="679"/>
      <c r="J99" s="680"/>
    </row>
    <row r="100" spans="1:10" ht="12.75" hidden="1" customHeight="1">
      <c r="A100" s="817" t="s">
        <v>304</v>
      </c>
      <c r="B100" s="696"/>
      <c r="C100" s="1" t="e">
        <f>Daten!K21</f>
        <v>#REF!</v>
      </c>
      <c r="D100" s="802" t="e">
        <f>Daten!K86</f>
        <v>#N/A</v>
      </c>
      <c r="E100" s="697"/>
      <c r="F100" s="575" t="s">
        <v>401</v>
      </c>
      <c r="G100" s="525" t="e">
        <f>Daten!L19</f>
        <v>#REF!</v>
      </c>
      <c r="H100" s="525" t="e">
        <f>Daten!L20</f>
        <v>#REF!</v>
      </c>
      <c r="I100" s="630" t="e">
        <f>Daten!H19</f>
        <v>#REF!</v>
      </c>
      <c r="J100" s="524" t="e">
        <f>Daten!L86</f>
        <v>#N/A</v>
      </c>
    </row>
    <row r="101" spans="1:10" hidden="1">
      <c r="A101" s="772" t="s">
        <v>393</v>
      </c>
      <c r="B101" s="773"/>
      <c r="C101" s="525" t="e">
        <f>TEXT(Daten!I19/100*'Allgemeine Angaben'!$C$40,"#,0#\ kV")</f>
        <v>#REF!</v>
      </c>
      <c r="D101" s="773"/>
      <c r="E101" s="686"/>
      <c r="F101" s="572" t="s">
        <v>402</v>
      </c>
      <c r="G101" s="525" t="e">
        <f>Daten!L21</f>
        <v>#REF!</v>
      </c>
      <c r="H101" s="525" t="e">
        <f>Daten!L22</f>
        <v>#REF!</v>
      </c>
      <c r="I101" s="630" t="e">
        <f>Daten!H21</f>
        <v>#REF!</v>
      </c>
      <c r="J101" s="526" t="e">
        <f>Daten!L87</f>
        <v>#N/A</v>
      </c>
    </row>
    <row r="102" spans="1:10" ht="12" hidden="1" customHeight="1">
      <c r="A102" s="772" t="s">
        <v>394</v>
      </c>
      <c r="B102" s="773"/>
      <c r="C102" s="520" t="e">
        <f>Daten!K19</f>
        <v>#REF!</v>
      </c>
      <c r="D102" s="773"/>
      <c r="E102" s="686"/>
      <c r="F102" s="572" t="s">
        <v>403</v>
      </c>
      <c r="G102" s="525" t="e">
        <f>Daten!L23</f>
        <v>#REF!</v>
      </c>
      <c r="H102" s="525" t="e">
        <f>Daten!L24</f>
        <v>#REF!</v>
      </c>
      <c r="I102" s="630" t="e">
        <f>Daten!H23</f>
        <v>#REF!</v>
      </c>
      <c r="J102" s="526" t="e">
        <f>Daten!L88</f>
        <v>#N/A</v>
      </c>
    </row>
    <row r="103" spans="1:10" ht="12.75" hidden="1" customHeight="1">
      <c r="A103" s="776" t="s">
        <v>404</v>
      </c>
      <c r="B103" s="679"/>
      <c r="C103" s="799" t="s">
        <v>405</v>
      </c>
      <c r="D103" s="679"/>
      <c r="E103" s="680"/>
      <c r="F103" s="573" t="s">
        <v>396</v>
      </c>
      <c r="G103" s="525" t="e">
        <f>Daten!L25</f>
        <v>#REF!</v>
      </c>
      <c r="H103" s="37" t="e">
        <f>Daten!L26</f>
        <v>#REF!</v>
      </c>
      <c r="I103" s="630" t="e">
        <f>Daten!H25</f>
        <v>#REF!</v>
      </c>
      <c r="J103" s="574" t="e">
        <f>Daten!L89</f>
        <v>#N/A</v>
      </c>
    </row>
    <row r="104" spans="1:10" ht="12.75" hidden="1" customHeight="1">
      <c r="A104" s="801" t="s">
        <v>397</v>
      </c>
      <c r="B104" s="697"/>
      <c r="C104" s="809" t="str">
        <f>'Allgemeine Angaben'!C94&amp;"        Uc = "&amp;'Schutzprüf-Checkliste'!D60&amp;" kV"</f>
        <v>Stromkriterium aktiv         Uc =  kV</v>
      </c>
      <c r="D104" s="696"/>
      <c r="E104" s="696"/>
      <c r="F104" s="696"/>
      <c r="G104" s="696"/>
      <c r="H104" s="696"/>
      <c r="I104" s="696"/>
      <c r="J104" s="697"/>
    </row>
    <row r="105" spans="1:10" ht="12.75" hidden="1" customHeight="1">
      <c r="A105" s="674"/>
      <c r="B105" s="680"/>
      <c r="C105" s="822" t="b">
        <f>IF('Schutzprüf-Checkliste'!E64="x",'Schutzprüf-Checkliste'!H66,(IF('Schutzprüf-Checkliste'!D66="MS","Keine Auslösung MSA",IF('Schutzprüf-Checkliste'!D66="NS","Keine Auslösung NSHV-LS"))))</f>
        <v>0</v>
      </c>
      <c r="D105" s="679"/>
      <c r="E105" s="679"/>
      <c r="F105" s="679"/>
      <c r="G105" s="679"/>
      <c r="H105" s="679"/>
      <c r="I105" s="679"/>
      <c r="J105" s="680"/>
    </row>
    <row r="106" spans="1:10" ht="12" hidden="1" customHeight="1">
      <c r="A106" s="901" t="s">
        <v>352</v>
      </c>
      <c r="B106" s="773"/>
      <c r="C106" s="1" t="s">
        <v>406</v>
      </c>
      <c r="D106" s="802"/>
      <c r="E106" s="697"/>
      <c r="F106" s="575" t="s">
        <v>401</v>
      </c>
      <c r="G106" s="525" t="s">
        <v>406</v>
      </c>
      <c r="H106" s="525" t="s">
        <v>406</v>
      </c>
      <c r="I106" s="630"/>
      <c r="J106" s="524" t="s">
        <v>406</v>
      </c>
    </row>
    <row r="107" spans="1:10" hidden="1">
      <c r="A107" s="772" t="s">
        <v>393</v>
      </c>
      <c r="B107" s="773"/>
      <c r="C107" s="525" t="s">
        <v>406</v>
      </c>
      <c r="D107" s="773"/>
      <c r="E107" s="686"/>
      <c r="F107" s="572" t="s">
        <v>402</v>
      </c>
      <c r="G107" s="525" t="s">
        <v>406</v>
      </c>
      <c r="H107" s="525" t="s">
        <v>406</v>
      </c>
      <c r="I107" s="630"/>
      <c r="J107" s="526" t="s">
        <v>406</v>
      </c>
    </row>
    <row r="108" spans="1:10" hidden="1">
      <c r="A108" s="772" t="s">
        <v>394</v>
      </c>
      <c r="B108" s="773"/>
      <c r="C108" s="520" t="s">
        <v>406</v>
      </c>
      <c r="D108" s="773"/>
      <c r="E108" s="686"/>
      <c r="F108" s="572" t="s">
        <v>403</v>
      </c>
      <c r="G108" s="525" t="s">
        <v>406</v>
      </c>
      <c r="H108" s="525" t="s">
        <v>406</v>
      </c>
      <c r="I108" s="630"/>
      <c r="J108" s="526" t="s">
        <v>406</v>
      </c>
    </row>
    <row r="109" spans="1:10" ht="24" hidden="1" customHeight="1">
      <c r="A109" s="776" t="s">
        <v>404</v>
      </c>
      <c r="B109" s="679"/>
      <c r="C109" s="799" t="s">
        <v>405</v>
      </c>
      <c r="D109" s="679"/>
      <c r="E109" s="680"/>
      <c r="F109" s="573" t="s">
        <v>396</v>
      </c>
      <c r="G109" s="525" t="s">
        <v>406</v>
      </c>
      <c r="H109" s="37" t="s">
        <v>406</v>
      </c>
      <c r="I109" s="631"/>
      <c r="J109" s="574" t="s">
        <v>406</v>
      </c>
    </row>
    <row r="110" spans="1:10" ht="12.75" hidden="1" customHeight="1">
      <c r="A110" s="801" t="s">
        <v>397</v>
      </c>
      <c r="B110" s="697"/>
      <c r="C110" s="907"/>
      <c r="D110" s="696"/>
      <c r="E110" s="696"/>
      <c r="F110" s="696"/>
      <c r="G110" s="696"/>
      <c r="H110" s="696"/>
      <c r="I110" s="696"/>
      <c r="J110" s="697"/>
    </row>
    <row r="111" spans="1:10" ht="0.75" hidden="1" customHeight="1">
      <c r="A111" s="674"/>
      <c r="B111" s="680"/>
      <c r="C111" s="823"/>
      <c r="D111" s="679"/>
      <c r="E111" s="679"/>
      <c r="F111" s="679"/>
      <c r="G111" s="679"/>
      <c r="H111" s="679"/>
      <c r="I111" s="679"/>
      <c r="J111" s="680"/>
    </row>
    <row r="112" spans="1:10" hidden="1">
      <c r="A112" s="539"/>
      <c r="B112" s="186"/>
      <c r="C112" s="23"/>
      <c r="D112" s="23"/>
      <c r="E112" s="23"/>
      <c r="F112" s="23"/>
      <c r="G112" s="23"/>
      <c r="H112" s="23"/>
      <c r="I112" s="633"/>
      <c r="J112" s="75"/>
    </row>
    <row r="113" spans="1:10" ht="12.75" hidden="1" customHeight="1">
      <c r="A113" s="800" t="s">
        <v>407</v>
      </c>
      <c r="B113" s="670"/>
      <c r="C113" s="670"/>
      <c r="D113" s="670"/>
      <c r="E113" s="670"/>
      <c r="F113" s="670"/>
      <c r="G113" s="670"/>
      <c r="H113" s="670"/>
      <c r="I113" s="670"/>
      <c r="J113" s="671"/>
    </row>
    <row r="114" spans="1:10" ht="12.75" hidden="1">
      <c r="A114" s="796" t="s">
        <v>386</v>
      </c>
      <c r="B114" s="671"/>
      <c r="C114" s="3" t="s">
        <v>387</v>
      </c>
      <c r="D114" s="791" t="s">
        <v>388</v>
      </c>
      <c r="E114" s="670"/>
      <c r="F114" s="3" t="s">
        <v>389</v>
      </c>
      <c r="G114" s="3" t="s">
        <v>387</v>
      </c>
      <c r="H114" s="796" t="s">
        <v>408</v>
      </c>
      <c r="I114" s="671"/>
      <c r="J114" s="3" t="s">
        <v>392</v>
      </c>
    </row>
    <row r="115" spans="1:10" ht="24" hidden="1" customHeight="1">
      <c r="A115" s="879" t="s">
        <v>409</v>
      </c>
      <c r="B115" s="696"/>
      <c r="C115" s="7" t="e">
        <f>Daten!K67</f>
        <v>#VALUE!</v>
      </c>
      <c r="D115" s="833" t="str">
        <f>Daten!K105</f>
        <v>-</v>
      </c>
      <c r="E115" s="697"/>
      <c r="F115" s="22" t="s">
        <v>396</v>
      </c>
      <c r="G115" s="7" t="str">
        <f>IF(ISBLANK(Daten!E67),"-",(Daten!L67))</f>
        <v>-</v>
      </c>
      <c r="H115" s="914" t="str">
        <f>IF(ISBLANK(Daten!E68),"-",(Daten!L68))</f>
        <v>-</v>
      </c>
      <c r="I115" s="696"/>
      <c r="J115" s="76" t="str">
        <f>Daten!L105</f>
        <v>-</v>
      </c>
    </row>
    <row r="116" spans="1:10" ht="24" hidden="1" customHeight="1">
      <c r="A116" s="885" t="s">
        <v>410</v>
      </c>
      <c r="B116" s="679"/>
      <c r="C116" s="7" t="e">
        <f>Daten!K69</f>
        <v>#VALUE!</v>
      </c>
      <c r="D116" s="872" t="str">
        <f>Daten!K106</f>
        <v>-</v>
      </c>
      <c r="E116" s="680"/>
      <c r="F116" s="21" t="s">
        <v>396</v>
      </c>
      <c r="G116" s="7" t="str">
        <f>IF(ISBLANK(Daten!E69),"-",(Daten!L69))</f>
        <v>-</v>
      </c>
      <c r="H116" s="919" t="str">
        <f>IF(ISBLANK(Daten!E70),"-",(Daten!L70))</f>
        <v>-</v>
      </c>
      <c r="I116" s="679"/>
      <c r="J116" s="76" t="str">
        <f>Daten!L106</f>
        <v>-</v>
      </c>
    </row>
    <row r="117" spans="1:10" ht="12.75" hidden="1">
      <c r="A117" s="801" t="s">
        <v>397</v>
      </c>
      <c r="B117" s="671"/>
      <c r="C117" s="774" t="b">
        <f>IF('Schutzprüf-Checkliste'!E64="x",'Schutzprüf-Checkliste'!H66,(IF('Schutzprüf-Checkliste'!D66="MS","Keine Auslösung MSA",IF('Schutzprüf-Checkliste'!D66="NS","Keine Auslösung NSHV-LS"))))</f>
        <v>0</v>
      </c>
      <c r="D117" s="670"/>
      <c r="E117" s="670"/>
      <c r="F117" s="670"/>
      <c r="G117" s="670"/>
      <c r="H117" s="670"/>
      <c r="I117" s="670"/>
      <c r="J117" s="671"/>
    </row>
    <row r="118" spans="1:10" ht="12" hidden="1" customHeight="1">
      <c r="A118" s="800" t="s">
        <v>411</v>
      </c>
      <c r="B118" s="670"/>
      <c r="C118" s="670"/>
      <c r="D118" s="670"/>
      <c r="E118" s="670"/>
      <c r="F118" s="670"/>
      <c r="G118" s="670"/>
      <c r="H118" s="670"/>
      <c r="I118" s="670"/>
      <c r="J118" s="671"/>
    </row>
    <row r="119" spans="1:10" ht="12" hidden="1" customHeight="1">
      <c r="A119" s="854"/>
      <c r="B119" s="671"/>
      <c r="C119" s="12" t="s">
        <v>393</v>
      </c>
      <c r="D119" s="812" t="s">
        <v>394</v>
      </c>
      <c r="E119" s="671"/>
      <c r="F119" s="12" t="s">
        <v>389</v>
      </c>
      <c r="G119" s="12" t="s">
        <v>387</v>
      </c>
      <c r="H119" s="812" t="s">
        <v>412</v>
      </c>
      <c r="I119" s="671"/>
      <c r="J119" s="12" t="s">
        <v>392</v>
      </c>
    </row>
    <row r="120" spans="1:10" ht="12" hidden="1" customHeight="1">
      <c r="A120" s="876" t="s">
        <v>413</v>
      </c>
      <c r="B120" s="697"/>
      <c r="C120" s="225" t="s">
        <v>414</v>
      </c>
      <c r="D120" s="870"/>
      <c r="E120" s="773"/>
      <c r="F120" s="865" t="s">
        <v>415</v>
      </c>
      <c r="G120" s="910" t="s">
        <v>416</v>
      </c>
      <c r="H120" s="910" t="s">
        <v>417</v>
      </c>
      <c r="I120" s="697"/>
      <c r="J120" s="831" t="s">
        <v>418</v>
      </c>
    </row>
    <row r="121" spans="1:10" ht="12" hidden="1" customHeight="1">
      <c r="A121" s="826" t="s">
        <v>415</v>
      </c>
      <c r="B121" s="686"/>
      <c r="C121" s="519" t="s">
        <v>419</v>
      </c>
      <c r="D121" s="870"/>
      <c r="E121" s="773"/>
      <c r="F121" s="676"/>
      <c r="G121" s="676"/>
      <c r="H121" s="673"/>
      <c r="I121" s="686"/>
      <c r="J121" s="676"/>
    </row>
    <row r="122" spans="1:10" ht="12" hidden="1" customHeight="1">
      <c r="A122" s="826" t="s">
        <v>420</v>
      </c>
      <c r="B122" s="686"/>
      <c r="C122" s="875" t="s">
        <v>421</v>
      </c>
      <c r="D122" s="773"/>
      <c r="E122" s="773"/>
      <c r="F122" s="897" t="s">
        <v>302</v>
      </c>
      <c r="G122" s="821" t="s">
        <v>422</v>
      </c>
      <c r="H122" s="821" t="s">
        <v>423</v>
      </c>
      <c r="I122" s="686"/>
      <c r="J122" s="676"/>
    </row>
    <row r="123" spans="1:10" ht="12" hidden="1" customHeight="1">
      <c r="A123" s="883" t="s">
        <v>395</v>
      </c>
      <c r="B123" s="680"/>
      <c r="C123" s="798" t="s">
        <v>424</v>
      </c>
      <c r="D123" s="679"/>
      <c r="E123" s="679"/>
      <c r="F123" s="677"/>
      <c r="G123" s="677"/>
      <c r="H123" s="674"/>
      <c r="I123" s="680"/>
      <c r="J123" s="677"/>
    </row>
    <row r="124" spans="1:10" ht="12.75" hidden="1">
      <c r="A124" s="801" t="s">
        <v>397</v>
      </c>
      <c r="B124" s="671"/>
      <c r="C124" s="874" t="str">
        <f>IF('Schutzprüf-Checkliste'!E63="x",'Schutzprüf-Checkliste'!H65 &amp;"; I-Wandler: "&amp;'Allgemeine Angaben'!C78&amp;"A//"&amp;"1A", "Keine Auslösung MSA")</f>
        <v>Keine Auslösung MSA</v>
      </c>
      <c r="D124" s="670"/>
      <c r="E124" s="670"/>
      <c r="F124" s="670"/>
      <c r="G124" s="670"/>
      <c r="H124" s="670"/>
      <c r="I124" s="670"/>
      <c r="J124" s="671"/>
    </row>
    <row r="125" spans="1:10" ht="12" hidden="1" customHeight="1">
      <c r="A125" s="539"/>
      <c r="B125" s="186"/>
      <c r="C125" s="33"/>
      <c r="D125" s="33"/>
      <c r="E125" s="33"/>
      <c r="F125" s="33"/>
      <c r="G125" s="33"/>
      <c r="H125" s="33"/>
      <c r="I125" s="634"/>
      <c r="J125" s="77"/>
    </row>
    <row r="126" spans="1:10" ht="12.75" hidden="1" customHeight="1">
      <c r="A126" s="800" t="s">
        <v>425</v>
      </c>
      <c r="B126" s="670"/>
      <c r="C126" s="670"/>
      <c r="D126" s="670"/>
      <c r="E126" s="670"/>
      <c r="F126" s="670"/>
      <c r="G126" s="670"/>
      <c r="H126" s="670"/>
      <c r="I126" s="670"/>
      <c r="J126" s="671"/>
    </row>
    <row r="127" spans="1:10" ht="12.75" hidden="1">
      <c r="A127" s="796" t="s">
        <v>386</v>
      </c>
      <c r="B127" s="670"/>
      <c r="C127" s="670"/>
      <c r="D127" s="670"/>
      <c r="E127" s="670"/>
      <c r="F127" s="670"/>
      <c r="G127" s="670"/>
      <c r="H127" s="670"/>
      <c r="I127" s="670"/>
      <c r="J127" s="671"/>
    </row>
    <row r="128" spans="1:10" ht="13.5" hidden="1" customHeight="1">
      <c r="A128" s="810" t="s">
        <v>308</v>
      </c>
      <c r="B128" s="773"/>
      <c r="C128" s="773"/>
      <c r="D128" s="867" t="str">
        <f>IF(ISBLANK('Allgemeine Angaben'!C96),"-",TEXT('Allgemeine Angaben'!C97, "0,0\ \M\W"))</f>
        <v/>
      </c>
      <c r="E128" s="670"/>
      <c r="F128" s="671"/>
      <c r="G128" s="557" t="s">
        <v>310</v>
      </c>
      <c r="H128" s="905" t="str">
        <f>IF(ISBLANK('Allgemeine Angaben'!C96),"-",'Allgemeine Angaben'!C98)</f>
        <v>Kennlinie</v>
      </c>
      <c r="I128" s="780"/>
      <c r="J128" s="686"/>
    </row>
    <row r="129" spans="1:11" ht="13.5" hidden="1" customHeight="1">
      <c r="A129" s="377" t="s">
        <v>386</v>
      </c>
      <c r="B129" s="378"/>
      <c r="C129" s="540" t="s">
        <v>426</v>
      </c>
      <c r="D129" s="556" t="s">
        <v>427</v>
      </c>
      <c r="E129" s="813"/>
      <c r="F129" s="697"/>
      <c r="G129" s="26" t="s">
        <v>386</v>
      </c>
      <c r="H129" s="845" t="s">
        <v>426</v>
      </c>
      <c r="I129" s="696"/>
      <c r="J129" s="28" t="s">
        <v>427</v>
      </c>
    </row>
    <row r="130" spans="1:11" ht="13.5" hidden="1" customHeight="1">
      <c r="A130" s="379" t="s">
        <v>428</v>
      </c>
      <c r="B130" s="9"/>
      <c r="C130" s="380" t="str">
        <f>IF(ISBLANK('Allgemeine Angaben'!C96),"-",IF(H128="Leistungsschwelle", TEXT('Allgemeine Angaben'!C97*0.05*1000, "0,00\ \k\var"), "3°"))</f>
        <v>3°</v>
      </c>
      <c r="D130" s="380" t="str">
        <f>IF(ISBLANK('Allgemeine Angaben'!C96),"-",IF(H128="Leistungsschwelle", TEXT('Allgemeine Angaben'!C97*0.05*100000/'Allgemeine Angaben'!C78/'Allgemeine Angaben'!C40, "0,000\ \var"), "3°"))</f>
        <v>3°</v>
      </c>
      <c r="E130" s="673"/>
      <c r="F130" s="686"/>
      <c r="G130" s="20" t="s">
        <v>313</v>
      </c>
      <c r="H130" s="814" t="e">
        <f>IF(ISBLANK('Allgemeine Angaben'!C96),"-",TEXT('Allgemeine Angaben'!C100*'Allgemeine Angaben'!C78, "0,00\ A"))</f>
        <v>#VALUE!</v>
      </c>
      <c r="I130" s="780"/>
      <c r="J130" s="545" t="str">
        <f>IF(ISBLANK('Allgemeine Angaben'!C96),"-",TEXT('Allgemeine Angaben'!C100, "0,00\ A"))</f>
        <v>-</v>
      </c>
    </row>
    <row r="131" spans="1:11" ht="13.5" hidden="1" customHeight="1">
      <c r="A131" s="381" t="s">
        <v>304</v>
      </c>
      <c r="B131" s="382"/>
      <c r="C131" s="37" t="e">
        <f>IF(ISBLANK('Allgemeine Angaben'!C96),"-",'Allgemeine Angaben'!C40*'Allgemeine Angaben'!C99/100 &amp; " kV")</f>
        <v>#VALUE!</v>
      </c>
      <c r="D131" s="574" t="str">
        <f>IF(ISBLANK('Allgemeine Angaben'!C96),"-",TEXT('Allgemeine Angaben'!C99,"0,0\ \V"))</f>
        <v>-</v>
      </c>
      <c r="E131" s="674"/>
      <c r="F131" s="680"/>
      <c r="G131" s="27" t="s">
        <v>315</v>
      </c>
      <c r="H131" s="906" t="s">
        <v>429</v>
      </c>
      <c r="I131" s="679"/>
      <c r="J131" s="29" t="str">
        <f>IF(ISBLANK('Allgemeine Angaben'!C96),"-",TEXT('Allgemeine Angaben'!C101, "0,0\ \s"))</f>
        <v>-</v>
      </c>
    </row>
    <row r="132" spans="1:11" ht="13.5" hidden="1" customHeight="1">
      <c r="A132" s="820" t="s">
        <v>430</v>
      </c>
      <c r="B132" s="670"/>
      <c r="C132" s="670"/>
      <c r="D132" s="670"/>
      <c r="E132" s="25"/>
      <c r="F132" s="24"/>
      <c r="G132" s="24"/>
      <c r="H132" s="24"/>
      <c r="I132" s="635"/>
      <c r="J132" s="78"/>
    </row>
    <row r="133" spans="1:11" ht="13.5" hidden="1" customHeight="1">
      <c r="A133" s="551"/>
      <c r="B133" s="16"/>
      <c r="C133" s="16"/>
      <c r="D133" s="16"/>
      <c r="E133" s="16"/>
      <c r="F133" s="16"/>
      <c r="G133" s="16"/>
      <c r="H133" s="16"/>
      <c r="I133" s="636"/>
      <c r="J133" s="552"/>
    </row>
    <row r="134" spans="1:11" ht="13.5" hidden="1" customHeight="1">
      <c r="A134" s="813" t="s">
        <v>431</v>
      </c>
      <c r="B134" s="670"/>
      <c r="C134" s="670"/>
      <c r="D134" s="670"/>
      <c r="E134" s="670"/>
      <c r="F134" s="670"/>
      <c r="G134" s="670"/>
      <c r="H134" s="670"/>
      <c r="I134" s="670"/>
      <c r="J134" s="671"/>
    </row>
    <row r="135" spans="1:11" ht="13.5" hidden="1" customHeight="1">
      <c r="A135" s="791" t="s">
        <v>432</v>
      </c>
      <c r="B135" s="670"/>
      <c r="C135" s="670"/>
      <c r="D135" s="670"/>
      <c r="E135" s="670"/>
      <c r="F135" s="670"/>
      <c r="G135" s="796" t="s">
        <v>433</v>
      </c>
      <c r="H135" s="670"/>
      <c r="I135" s="670"/>
      <c r="J135" s="671"/>
    </row>
    <row r="136" spans="1:11" ht="13.5" hidden="1" customHeight="1">
      <c r="A136" s="813" t="s">
        <v>386</v>
      </c>
      <c r="B136" s="671"/>
      <c r="C136" s="383" t="s">
        <v>387</v>
      </c>
      <c r="D136" s="423" t="s">
        <v>412</v>
      </c>
      <c r="E136" s="808" t="s">
        <v>434</v>
      </c>
      <c r="F136" s="680"/>
      <c r="G136" s="17" t="s">
        <v>387</v>
      </c>
      <c r="H136" s="854" t="s">
        <v>412</v>
      </c>
      <c r="I136" s="671"/>
      <c r="J136" s="558" t="s">
        <v>435</v>
      </c>
    </row>
    <row r="137" spans="1:11" ht="13.5" hidden="1" customHeight="1">
      <c r="A137" s="820" t="s">
        <v>396</v>
      </c>
      <c r="B137" s="670"/>
      <c r="C137" s="537" t="str">
        <f>IF(ISBLANK('Allgemeine Angaben'!C96),"-",TEXT(Daten!L55, "0,00\ \M\W"))</f>
        <v>-</v>
      </c>
      <c r="D137" s="537" t="str">
        <f>IF(ISBLANK('Allgemeine Angaben'!C96),"-",TEXT(Daten!L56, "0,00\ \M\W"))</f>
        <v>-</v>
      </c>
      <c r="E137" s="844" t="str">
        <f>IF(ISBLANK('Allgemeine Angaben'!C96),"-","0,1 V")</f>
        <v>0,1 V</v>
      </c>
      <c r="F137" s="671"/>
      <c r="G137" s="555" t="str">
        <f>IF(ISBLANK('Allgemeine Angaben'!C96),"-",Daten!L57)</f>
        <v>-</v>
      </c>
      <c r="H137" s="904" t="str">
        <f>IF(ISBLANK('Allgemeine Angaben'!C96),"-",Daten!L58)</f>
        <v>-</v>
      </c>
      <c r="I137" s="670"/>
      <c r="J137" s="536" t="str">
        <f>IF(ISBLANK('Allgemeine Angaben'!C96),"-","0,001 A")</f>
        <v>0,001 A</v>
      </c>
    </row>
    <row r="138" spans="1:11" ht="13.5" hidden="1" customHeight="1">
      <c r="A138" s="791" t="s">
        <v>436</v>
      </c>
      <c r="B138" s="670"/>
      <c r="C138" s="670"/>
      <c r="D138" s="670"/>
      <c r="E138" s="670"/>
      <c r="F138" s="670"/>
      <c r="G138" s="796" t="s">
        <v>437</v>
      </c>
      <c r="H138" s="670"/>
      <c r="I138" s="670"/>
      <c r="J138" s="671"/>
    </row>
    <row r="139" spans="1:11" ht="13.5" hidden="1" customHeight="1">
      <c r="A139" s="824"/>
      <c r="B139" s="671"/>
      <c r="C139" s="15" t="s">
        <v>438</v>
      </c>
      <c r="D139" s="15" t="s">
        <v>439</v>
      </c>
      <c r="E139" s="813" t="s">
        <v>440</v>
      </c>
      <c r="F139" s="671"/>
      <c r="G139" s="15" t="s">
        <v>441</v>
      </c>
      <c r="H139" s="813" t="s">
        <v>442</v>
      </c>
      <c r="I139" s="671"/>
      <c r="J139" s="15" t="s">
        <v>443</v>
      </c>
      <c r="K139" s="9"/>
    </row>
    <row r="140" spans="1:11" ht="13.5" hidden="1" customHeight="1">
      <c r="A140" s="866" t="s">
        <v>444</v>
      </c>
      <c r="B140" s="696"/>
      <c r="C140" s="226" t="str">
        <f>IF(H128="Kennlinie",TEXT(Daten!L63,"0,0\ \var"),"-")</f>
        <v>-</v>
      </c>
      <c r="D140" s="226" t="str">
        <f>IF(H128="Kennlinie",TEXT(Daten!L64,"0,0\ \var"),"-")</f>
        <v>-</v>
      </c>
      <c r="E140" s="846" t="str">
        <f>IF(ISBLANK('Allgemeine Angaben'!C96),"-","0,05 °")</f>
        <v>0,05 °</v>
      </c>
      <c r="F140" s="697"/>
      <c r="G140" s="528" t="str">
        <f>IF(H128="Leistungsschwelle",TEXT(Daten!L59,"0,00\ \var"),"-")</f>
        <v>-</v>
      </c>
      <c r="H140" s="909" t="str">
        <f>IF(H128="Leistungsschwelle",TEXT(Daten!L60,"0,00\ \var"),"-")</f>
        <v>-</v>
      </c>
      <c r="I140" s="696"/>
      <c r="J140" s="79" t="str">
        <f>IF(ISBLANK('Allgemeine Angaben'!C96),"-","0,1 var")</f>
        <v>0,1 var</v>
      </c>
    </row>
    <row r="141" spans="1:11" ht="13.5" hidden="1" customHeight="1">
      <c r="A141" s="915" t="s">
        <v>445</v>
      </c>
      <c r="B141" s="679"/>
      <c r="C141" s="226" t="str">
        <f>IF(H128="Kennlinie",TEXT(Daten!L65,"0,0\ \var"),"-")</f>
        <v>-</v>
      </c>
      <c r="D141" s="226" t="str">
        <f>IF(H128="Kennlinie",TEXT(Daten!L66,"0,0\ \var"),"-")</f>
        <v>-</v>
      </c>
      <c r="E141" s="880" t="str">
        <f>IF(ISBLANK('Allgemeine Angaben'!C96),"-","0,05 °")</f>
        <v>0,05 °</v>
      </c>
      <c r="F141" s="680"/>
      <c r="G141" s="527" t="str">
        <f>IF(H128="Leistungsschwelle",TEXT(Daten!L61,"0,00\ \var"),"-")</f>
        <v>-</v>
      </c>
      <c r="H141" s="912" t="str">
        <f>IF(H128="Leistungsschwelle",TEXT(Daten!L62,"0,00\ \var"),"-")</f>
        <v>-</v>
      </c>
      <c r="I141" s="679"/>
      <c r="J141" s="79" t="str">
        <f>IF(ISBLANK('Allgemeine Angaben'!C96),"-","0,1 var")</f>
        <v>0,1 var</v>
      </c>
    </row>
    <row r="142" spans="1:11" ht="13.5" hidden="1" customHeight="1">
      <c r="A142" s="796" t="s">
        <v>392</v>
      </c>
      <c r="B142" s="671"/>
      <c r="C142" s="3" t="s">
        <v>446</v>
      </c>
      <c r="D142" s="796" t="s">
        <v>447</v>
      </c>
      <c r="E142" s="671"/>
      <c r="F142" s="565"/>
      <c r="G142" s="565"/>
      <c r="H142" s="565"/>
      <c r="I142" s="611"/>
      <c r="J142" s="30"/>
    </row>
    <row r="143" spans="1:11" ht="13.5" hidden="1" customHeight="1">
      <c r="A143" s="557"/>
      <c r="B143" s="541"/>
      <c r="C143" s="541" t="str">
        <f>IF(ISBLANK(Daten!L55),"-",TEXT(Daten!L104, "0,00\ \s"))</f>
        <v>-</v>
      </c>
      <c r="D143" s="890" t="s">
        <v>406</v>
      </c>
      <c r="E143" s="679"/>
      <c r="F143" s="568"/>
      <c r="G143" s="31"/>
      <c r="H143" s="31"/>
      <c r="I143" s="612"/>
      <c r="J143" s="80"/>
    </row>
    <row r="144" spans="1:11" ht="13.5" hidden="1" customHeight="1">
      <c r="A144" s="796" t="s">
        <v>448</v>
      </c>
      <c r="B144" s="670"/>
      <c r="C144" s="670"/>
      <c r="D144" s="670"/>
      <c r="E144" s="670"/>
      <c r="F144" s="670"/>
      <c r="G144" s="670"/>
      <c r="H144" s="670"/>
      <c r="I144" s="670"/>
      <c r="J144" s="671"/>
    </row>
    <row r="145" spans="1:10" ht="13.5" hidden="1" customHeight="1">
      <c r="A145" s="847" t="s">
        <v>449</v>
      </c>
      <c r="B145" s="696"/>
      <c r="C145" s="696"/>
      <c r="D145" s="565" t="s">
        <v>450</v>
      </c>
      <c r="E145" s="565"/>
      <c r="F145" s="30" t="s">
        <v>451</v>
      </c>
      <c r="G145" s="13" t="s">
        <v>401</v>
      </c>
      <c r="H145" s="903" t="s">
        <v>402</v>
      </c>
      <c r="I145" s="670"/>
      <c r="J145" s="80" t="s">
        <v>403</v>
      </c>
    </row>
    <row r="146" spans="1:10" ht="13.5" hidden="1" customHeight="1">
      <c r="A146" s="566" t="s">
        <v>452</v>
      </c>
      <c r="B146" s="567"/>
      <c r="C146" s="18"/>
      <c r="D146" s="540" t="str">
        <f>IF(ISBLANK('Allgemeine Angaben'!$C$96),"-","Nein")</f>
        <v>Nein</v>
      </c>
      <c r="E146" s="565"/>
      <c r="F146" s="540" t="str">
        <f>IF(ISBLANK('Allgemeine Angaben'!$C$96),"-","x")</f>
        <v>x</v>
      </c>
      <c r="G146" s="569" t="e">
        <f>IF(ISBLANK('Allgemeine Angaben'!$C$96),"-",'Allgemeine Angaben'!C99*0.9648)</f>
        <v>#VALUE!</v>
      </c>
      <c r="H146" s="881" t="e">
        <f>IF(ISBLANK('Allgemeine Angaben'!$C$96),"-",'Allgemeine Angaben'!C99*1.07)</f>
        <v>#VALUE!</v>
      </c>
      <c r="I146" s="696"/>
      <c r="J146" s="563" t="e">
        <f>IF(ISBLANK('Allgemeine Angaben'!$C$96),"-",'Allgemeine Angaben'!C99*1.07)</f>
        <v>#VALUE!</v>
      </c>
    </row>
    <row r="147" spans="1:10" ht="13.5" hidden="1" customHeight="1">
      <c r="A147" s="549" t="s">
        <v>453</v>
      </c>
      <c r="B147" s="550"/>
      <c r="C147" s="14"/>
      <c r="D147" s="541" t="str">
        <f>IF(ISBLANK('Allgemeine Angaben'!$C$96),"-","Nein")</f>
        <v>Nein</v>
      </c>
      <c r="E147" s="31"/>
      <c r="F147" s="541" t="str">
        <f>IF(ISBLANK('Allgemeine Angaben'!$C$96),"-","x")</f>
        <v>x</v>
      </c>
      <c r="G147" s="538" t="e">
        <f>IF(ISBLANK('Allgemeine Angaben'!$C$96),"-",'Allgemeine Angaben'!C99*1.07)</f>
        <v>#VALUE!</v>
      </c>
      <c r="H147" s="896" t="e">
        <f>IF(ISBLANK('Allgemeine Angaben'!$C$96),"-",'Allgemeine Angaben'!C99*0.9648)</f>
        <v>#VALUE!</v>
      </c>
      <c r="I147" s="780"/>
      <c r="J147" s="564" t="e">
        <f>IF(ISBLANK('Allgemeine Angaben'!$C$96),"-",'Allgemeine Angaben'!C99*1.07)</f>
        <v>#VALUE!</v>
      </c>
    </row>
    <row r="148" spans="1:10" ht="13.5" hidden="1" customHeight="1">
      <c r="A148" s="549" t="s">
        <v>454</v>
      </c>
      <c r="B148" s="550"/>
      <c r="D148" s="541" t="str">
        <f>IF(ISBLANK('Allgemeine Angaben'!$C$96),"-","Nein")</f>
        <v>Nein</v>
      </c>
      <c r="E148" s="31"/>
      <c r="F148" s="541" t="str">
        <f>IF(ISBLANK('Allgemeine Angaben'!$C$96),"-","x")</f>
        <v>x</v>
      </c>
      <c r="G148" s="538" t="e">
        <f>IF(ISBLANK('Allgemeine Angaben'!$C$96),"-",'Allgemeine Angaben'!C99*1.07)</f>
        <v>#VALUE!</v>
      </c>
      <c r="H148" s="896" t="e">
        <f>IF(ISBLANK('Allgemeine Angaben'!$C$96),"-",'Allgemeine Angaben'!C99*1.07)</f>
        <v>#VALUE!</v>
      </c>
      <c r="I148" s="780"/>
      <c r="J148" s="564" t="e">
        <f>IF(ISBLANK('Allgemeine Angaben'!$C$96),"-",'Allgemeine Angaben'!C99*0.9648)</f>
        <v>#VALUE!</v>
      </c>
    </row>
    <row r="149" spans="1:10" ht="13.5" hidden="1" customHeight="1">
      <c r="A149" s="810" t="s">
        <v>455</v>
      </c>
      <c r="B149" s="773"/>
      <c r="C149" s="773"/>
      <c r="D149" s="541" t="str">
        <f>IF(ISBLANK('Allgemeine Angaben'!$C$96),"-","Nein")</f>
        <v>Nein</v>
      </c>
      <c r="E149" s="31"/>
      <c r="F149" s="541" t="str">
        <f>IF(ISBLANK('Allgemeine Angaben'!$C$96),"-","x")</f>
        <v>x</v>
      </c>
      <c r="G149" s="538" t="e">
        <f>IF(ISBLANK('Allgemeine Angaben'!$C$96),"-",'Allgemeine Angaben'!C99*0.9648)</f>
        <v>#VALUE!</v>
      </c>
      <c r="H149" s="896" t="e">
        <f>IF(ISBLANK('Allgemeine Angaben'!$C$96),"-",'Allgemeine Angaben'!C99*1.176)</f>
        <v>#VALUE!</v>
      </c>
      <c r="I149" s="780"/>
      <c r="J149" s="564" t="e">
        <f>IF(ISBLANK('Allgemeine Angaben'!$C$96),"-",'Allgemeine Angaben'!C99*0.9648)</f>
        <v>#VALUE!</v>
      </c>
    </row>
    <row r="150" spans="1:10" ht="13.5" hidden="1" customHeight="1">
      <c r="A150" s="549" t="s">
        <v>456</v>
      </c>
      <c r="B150" s="550"/>
      <c r="C150" s="550"/>
      <c r="D150" s="541" t="str">
        <f>IF(ISBLANK('Allgemeine Angaben'!$C$96),"-","Ja")</f>
        <v>Ja</v>
      </c>
      <c r="E150" s="31"/>
      <c r="F150" s="542" t="str">
        <f>IF(ISBLANK('Allgemeine Angaben'!$C$96),"-","x")</f>
        <v>x</v>
      </c>
      <c r="G150" s="538" t="e">
        <f>IF(ISBLANK('Allgemeine Angaben'!$C$96),"-",'Allgemeine Angaben'!C99*0.9648)</f>
        <v>#VALUE!</v>
      </c>
      <c r="H150" s="853" t="e">
        <f>IF(ISBLANK('Allgemeine Angaben'!$C$96),"-",'Allgemeine Angaben'!C99*0.9648)</f>
        <v>#VALUE!</v>
      </c>
      <c r="I150" s="679"/>
      <c r="J150" s="564" t="e">
        <f>IF(ISBLANK('Allgemeine Angaben'!$C$96),"-",'Allgemeine Angaben'!C99*0.9648)</f>
        <v>#VALUE!</v>
      </c>
    </row>
    <row r="151" spans="1:10" ht="13.5" hidden="1" customHeight="1">
      <c r="A151" s="796" t="s">
        <v>457</v>
      </c>
      <c r="B151" s="670"/>
      <c r="C151" s="670"/>
      <c r="D151" s="670"/>
      <c r="E151" s="670"/>
      <c r="F151" s="670"/>
      <c r="G151" s="670"/>
      <c r="H151" s="670"/>
      <c r="I151" s="670"/>
      <c r="J151" s="671"/>
    </row>
    <row r="152" spans="1:10" ht="13.5" hidden="1" customHeight="1">
      <c r="A152" s="782" t="s">
        <v>458</v>
      </c>
      <c r="B152" s="518"/>
      <c r="C152" s="867" t="e">
        <f>IF(ISBLANK('Allgemeine Angaben'!$C$96),"-",'Allgemeine Angaben'!C99*0.9648)</f>
        <v>#VALUE!</v>
      </c>
      <c r="D152" s="19" t="s">
        <v>459</v>
      </c>
      <c r="E152" s="803" t="s">
        <v>460</v>
      </c>
      <c r="F152" s="696"/>
      <c r="G152" s="31" t="s">
        <v>461</v>
      </c>
      <c r="H152" s="803" t="s">
        <v>462</v>
      </c>
      <c r="I152" s="696"/>
      <c r="J152" s="80" t="s">
        <v>450</v>
      </c>
    </row>
    <row r="153" spans="1:10" ht="13.5" hidden="1" customHeight="1">
      <c r="A153" s="673"/>
      <c r="B153" s="541"/>
      <c r="C153" s="686"/>
      <c r="D153" s="541" t="str">
        <f>IF(ISBLANK('Allgemeine Angaben'!$C$96),"-","0,5 A")</f>
        <v>0,5 A</v>
      </c>
      <c r="E153" s="805" t="str">
        <f>IF(ISBLANK('Allgemeine Angaben'!$C$96),"-","135")</f>
        <v>135</v>
      </c>
      <c r="F153" s="773"/>
      <c r="G153" s="541" t="str">
        <f>IF(ISBLANK('Allgemeine Angaben'!$C$96),"-","15")</f>
        <v>15</v>
      </c>
      <c r="H153" s="805" t="str">
        <f>IF(ISBLANK('Allgemeine Angaben'!$C$96),"-","255")</f>
        <v>255</v>
      </c>
      <c r="I153" s="780"/>
      <c r="J153" s="558" t="str">
        <f>IF(ISBLANK('Allgemeine Angaben'!$C$96),"-","nein")</f>
        <v>nein</v>
      </c>
    </row>
    <row r="154" spans="1:10" ht="13.5" hidden="1" customHeight="1">
      <c r="A154" s="673"/>
      <c r="B154" s="541"/>
      <c r="C154" s="686"/>
      <c r="D154" s="541" t="str">
        <f>IF(ISBLANK('Allgemeine Angaben'!$C$96),"-","0,5 A")</f>
        <v>0,5 A</v>
      </c>
      <c r="E154" s="805" t="str">
        <f>IF(ISBLANK('Allgemeine Angaben'!$C$96),"-","45")</f>
        <v>45</v>
      </c>
      <c r="F154" s="773"/>
      <c r="G154" s="541" t="str">
        <f>IF(ISBLANK('Allgemeine Angaben'!$C$96),"-","-75")</f>
        <v>-75</v>
      </c>
      <c r="H154" s="805" t="str">
        <f>IF(ISBLANK('Allgemeine Angaben'!$C$96),"-","165")</f>
        <v>165</v>
      </c>
      <c r="I154" s="780"/>
      <c r="J154" s="558" t="str">
        <f>IF(ISBLANK('Allgemeine Angaben'!$C$96),"-","nein")</f>
        <v>nein</v>
      </c>
    </row>
    <row r="155" spans="1:10" ht="13.5" hidden="1" customHeight="1">
      <c r="A155" s="673"/>
      <c r="B155" s="541"/>
      <c r="C155" s="686"/>
      <c r="D155" s="541" t="str">
        <f>IF(ISBLANK('Allgemeine Angaben'!$C$96),"-","0,5 A")</f>
        <v>0,5 A</v>
      </c>
      <c r="E155" s="805" t="str">
        <f>IF(ISBLANK('Allgemeine Angaben'!$C$96),"-","-45")</f>
        <v>-45</v>
      </c>
      <c r="F155" s="773"/>
      <c r="G155" s="541" t="str">
        <f>IF(ISBLANK('Allgemeine Angaben'!$C$96),"-","-165")</f>
        <v>-165</v>
      </c>
      <c r="H155" s="805" t="str">
        <f>IF(ISBLANK('Allgemeine Angaben'!$C$96),"-","75")</f>
        <v>75</v>
      </c>
      <c r="I155" s="780"/>
      <c r="J155" s="558" t="str">
        <f>IF(ISBLANK('Allgemeine Angaben'!$C$96),"-","ja")</f>
        <v>ja</v>
      </c>
    </row>
    <row r="156" spans="1:10" ht="13.5" hidden="1" customHeight="1">
      <c r="A156" s="674"/>
      <c r="B156" s="542"/>
      <c r="C156" s="680"/>
      <c r="D156" s="541" t="str">
        <f>IF(ISBLANK('Allgemeine Angaben'!$C$96),"-","0,3 A")</f>
        <v>0,3 A</v>
      </c>
      <c r="E156" s="805" t="str">
        <f>IF(ISBLANK('Allgemeine Angaben'!$C$96),"-","-135")</f>
        <v>-135</v>
      </c>
      <c r="F156" s="773"/>
      <c r="G156" s="541" t="str">
        <f>IF(ISBLANK('Allgemeine Angaben'!$C$96),"-","-255")</f>
        <v>-255</v>
      </c>
      <c r="H156" s="834" t="str">
        <f>IF(ISBLANK('Allgemeine Angaben'!$C$96),"-","-15")</f>
        <v>-15</v>
      </c>
      <c r="I156" s="679"/>
      <c r="J156" s="558" t="str">
        <f>IF(ISBLANK('Allgemeine Angaben'!$C$96),"-","ja")</f>
        <v>ja</v>
      </c>
    </row>
    <row r="157" spans="1:10" ht="12.75" hidden="1">
      <c r="A157" s="801" t="s">
        <v>397</v>
      </c>
      <c r="B157" s="697"/>
      <c r="C157" s="774" t="str">
        <f>IF(ISBLANK('Allgemeine Angaben'!C96),"-","Uc = "&amp;'Schutzprüf-Checkliste'!D60&amp;" kV")</f>
        <v>Uc =  kV</v>
      </c>
      <c r="D157" s="670"/>
      <c r="E157" s="670"/>
      <c r="F157" s="670"/>
      <c r="G157" s="670"/>
      <c r="H157" s="670"/>
      <c r="I157" s="670"/>
      <c r="J157" s="671"/>
    </row>
    <row r="158" spans="1:10" ht="12.75" hidden="1">
      <c r="A158" s="674"/>
      <c r="B158" s="680"/>
      <c r="C158" s="774" t="b">
        <f>IF('Schutzprüf-Checkliste'!E64="x",'Schutzprüf-Checkliste'!H66,(IF('Schutzprüf-Checkliste'!D66="MS","Keine Auslösung MSA",IF('Schutzprüf-Checkliste'!D66="NS","Keine Auslösung NSHV-LS"))))</f>
        <v>0</v>
      </c>
      <c r="D158" s="670"/>
      <c r="E158" s="670"/>
      <c r="F158" s="670"/>
      <c r="G158" s="670"/>
      <c r="H158" s="670"/>
      <c r="I158" s="670"/>
      <c r="J158" s="671"/>
    </row>
    <row r="159" spans="1:10" ht="12.75" hidden="1" customHeight="1">
      <c r="A159" s="835" t="s">
        <v>463</v>
      </c>
      <c r="B159" s="696"/>
      <c r="C159" s="696"/>
      <c r="D159" s="696"/>
      <c r="E159" s="696"/>
      <c r="F159" s="696"/>
      <c r="G159" s="696"/>
      <c r="H159" s="696"/>
      <c r="I159" s="696"/>
      <c r="J159" s="697"/>
    </row>
    <row r="160" spans="1:10" ht="12.75" hidden="1">
      <c r="A160" s="796" t="s">
        <v>386</v>
      </c>
      <c r="B160" s="671"/>
      <c r="C160" s="3" t="s">
        <v>387</v>
      </c>
      <c r="D160" s="791" t="s">
        <v>388</v>
      </c>
      <c r="E160" s="670"/>
      <c r="F160" s="3" t="s">
        <v>389</v>
      </c>
      <c r="G160" s="3" t="s">
        <v>387</v>
      </c>
      <c r="H160" s="796" t="s">
        <v>390</v>
      </c>
      <c r="I160" s="671"/>
      <c r="J160" s="3" t="s">
        <v>392</v>
      </c>
    </row>
    <row r="161" spans="1:12" ht="12" customHeight="1">
      <c r="A161" s="817" t="s">
        <v>464</v>
      </c>
      <c r="B161" s="696"/>
      <c r="C161" s="479" t="s">
        <v>465</v>
      </c>
      <c r="D161" s="891" t="s">
        <v>466</v>
      </c>
      <c r="E161" s="697"/>
      <c r="F161" s="575" t="s">
        <v>396</v>
      </c>
      <c r="G161" s="571" t="s">
        <v>467</v>
      </c>
      <c r="H161" s="806" t="s">
        <v>468</v>
      </c>
      <c r="I161" s="780"/>
      <c r="J161" s="480" t="s">
        <v>469</v>
      </c>
    </row>
    <row r="162" spans="1:12" ht="24" customHeight="1">
      <c r="A162" s="772" t="s">
        <v>470</v>
      </c>
      <c r="B162" s="773"/>
      <c r="C162" s="571" t="s">
        <v>471</v>
      </c>
      <c r="D162" s="806" t="s">
        <v>472</v>
      </c>
      <c r="E162" s="773"/>
      <c r="F162" s="572" t="s">
        <v>396</v>
      </c>
      <c r="G162" s="571" t="s">
        <v>471</v>
      </c>
      <c r="H162" s="806" t="s">
        <v>473</v>
      </c>
      <c r="I162" s="780"/>
      <c r="J162" s="480" t="s">
        <v>474</v>
      </c>
    </row>
    <row r="163" spans="1:12" ht="12" customHeight="1">
      <c r="A163" s="776" t="s">
        <v>475</v>
      </c>
      <c r="B163" s="679"/>
      <c r="C163" s="571" t="s">
        <v>476</v>
      </c>
      <c r="D163" s="871"/>
      <c r="E163" s="679"/>
      <c r="F163" s="572" t="s">
        <v>396</v>
      </c>
      <c r="G163" s="571" t="s">
        <v>477</v>
      </c>
      <c r="H163" s="522"/>
      <c r="I163" s="522"/>
      <c r="J163" s="481"/>
    </row>
    <row r="164" spans="1:12" ht="12.75">
      <c r="A164" s="820" t="s">
        <v>478</v>
      </c>
      <c r="B164" s="670"/>
      <c r="C164" s="825" t="b">
        <f>IF('Schutzprüf-Checkliste'!E64="x",'Schutzprüf-Checkliste'!H66,(IF('Schutzprüf-Checkliste'!D66="MS","Keine Auslösung MSA",IF('Schutzprüf-Checkliste'!D66="NS","Keine Auslösung NSHV-LS"))))</f>
        <v>0</v>
      </c>
      <c r="D164" s="670"/>
      <c r="E164" s="670"/>
      <c r="F164" s="670"/>
      <c r="G164" s="670"/>
      <c r="H164" s="670"/>
      <c r="I164" s="670"/>
      <c r="J164" s="671"/>
    </row>
    <row r="165" spans="1:12" ht="12.75" customHeight="1">
      <c r="A165" s="800" t="s">
        <v>479</v>
      </c>
      <c r="B165" s="670"/>
      <c r="C165" s="670"/>
      <c r="D165" s="670"/>
      <c r="E165" s="670"/>
      <c r="F165" s="670"/>
      <c r="G165" s="670"/>
      <c r="H165" s="670"/>
      <c r="I165" s="670"/>
      <c r="J165" s="671"/>
    </row>
    <row r="166" spans="1:12" ht="12.75">
      <c r="A166" s="837" t="s">
        <v>480</v>
      </c>
      <c r="B166" s="696"/>
      <c r="C166" s="696"/>
      <c r="D166" s="696"/>
      <c r="E166" s="696"/>
      <c r="F166" s="696"/>
      <c r="G166" s="696"/>
      <c r="H166" s="696"/>
      <c r="I166" s="696"/>
      <c r="J166" s="637" t="s">
        <v>481</v>
      </c>
    </row>
    <row r="167" spans="1:12" ht="12.75" hidden="1" customHeight="1">
      <c r="A167" s="786" t="str">
        <f>IF((OR('Allgemeine Angaben'!C103="x",'Allgemeine Angaben'!C103="NICHT OK")),"UMZ: Abschaltung MS-LS"&amp;'Schutzprüf-Checkliste'!C67 &amp;" im Fehlerfall geprüft (gesamte Wirkungskette)","")</f>
        <v/>
      </c>
      <c r="B167" s="773"/>
      <c r="C167" s="773"/>
      <c r="D167" s="773"/>
      <c r="E167" s="773"/>
      <c r="F167" s="773"/>
      <c r="G167" s="773"/>
      <c r="H167" s="773"/>
      <c r="I167" s="780"/>
      <c r="J167" s="137" t="str">
        <f>'Allgemeine Angaben'!C103</f>
        <v/>
      </c>
    </row>
    <row r="168" spans="1:12" ht="15.75" hidden="1" customHeight="1">
      <c r="A168" s="786" t="str">
        <f>IF(OR('Allgemeine Angaben'!C104="x",'Allgemeine Angaben'!C104="NICHT OK"),"Entkupplungsschutz: Abschaltung "&amp;'Schutzprüf-Checkliste'!D66&amp;"-LS"&amp;'Schutzprüf-Checkliste'!C68 &amp;" im Fehlerfall geprüft (gesamte Wirkungskette)","")</f>
        <v/>
      </c>
      <c r="B168" s="773"/>
      <c r="C168" s="773"/>
      <c r="D168" s="773"/>
      <c r="E168" s="773"/>
      <c r="F168" s="773"/>
      <c r="G168" s="773"/>
      <c r="H168" s="773"/>
      <c r="I168" s="780"/>
      <c r="J168" s="137" t="str">
        <f>'Allgemeine Angaben'!C104</f>
        <v/>
      </c>
      <c r="L168" s="493" t="s">
        <v>482</v>
      </c>
    </row>
    <row r="169" spans="1:12">
      <c r="A169" s="819" t="str">
        <f>IF(AND('Schutzprüf-Checkliste'!I70=TRUE,OR(J169="x",J169="NICHT OK")),"Abschaltung MS-LS"&amp;'Schutzprüf-Checkliste'!C67 &amp;" nach Ausfall der Hilfsspannung - AuxDC","")</f>
        <v/>
      </c>
      <c r="B169" s="773"/>
      <c r="C169" s="773"/>
      <c r="D169" s="773"/>
      <c r="E169" s="773"/>
      <c r="F169" s="773"/>
      <c r="G169" s="773"/>
      <c r="H169" s="773"/>
      <c r="I169" s="780"/>
      <c r="J169" s="137" t="str">
        <f>'Allgemeine Angaben'!C105</f>
        <v/>
      </c>
    </row>
    <row r="170" spans="1:12" hidden="1">
      <c r="A170" s="819" t="str">
        <f>IF(AND('Schutzprüf-Checkliste'!K70=TRUE,OR(J170="x",J170="NICHT OK")),"Abschaltung NS-LS"&amp;'Schutzprüf-Checkliste'!C68 &amp;" nach Ausfall der Hilfsspannung- AuxDC","")</f>
        <v/>
      </c>
      <c r="B170" s="773"/>
      <c r="C170" s="773"/>
      <c r="D170" s="773"/>
      <c r="E170" s="773"/>
      <c r="F170" s="773"/>
      <c r="G170" s="773"/>
      <c r="H170" s="773"/>
      <c r="I170" s="780"/>
      <c r="J170" s="137" t="str">
        <f>'Allgemeine Angaben'!C106</f>
        <v/>
      </c>
    </row>
    <row r="171" spans="1:12" hidden="1">
      <c r="A171" s="819" t="str">
        <f>IF(AND('Schutzprüf-Checkliste'!I71=TRUE,OR(J171="x",J171="NICHT OK")),"Abschaltung MS-LS"&amp;'Schutzprüf-Checkliste'!C67 &amp;" nach Ausfall Schutzrelais (Live Contact)","")</f>
        <v/>
      </c>
      <c r="B171" s="773"/>
      <c r="C171" s="773"/>
      <c r="D171" s="773"/>
      <c r="E171" s="773"/>
      <c r="F171" s="773"/>
      <c r="G171" s="773"/>
      <c r="H171" s="773"/>
      <c r="I171" s="780"/>
      <c r="J171" s="137" t="str">
        <f>'Allgemeine Angaben'!C107</f>
        <v/>
      </c>
    </row>
    <row r="172" spans="1:12">
      <c r="A172" s="819" t="str">
        <f>IF(AND('Schutzprüf-Checkliste'!K71=TRUE,OR(J172="x",J172="NICHT OK")),"Abschaltung NS-LS"&amp;'Schutzprüf-Checkliste'!C68 &amp;" nach Ausfall Schutzrelais (Live Contact)","")</f>
        <v/>
      </c>
      <c r="B172" s="773"/>
      <c r="C172" s="773"/>
      <c r="D172" s="773"/>
      <c r="E172" s="773"/>
      <c r="F172" s="773"/>
      <c r="G172" s="773"/>
      <c r="H172" s="773"/>
      <c r="I172" s="780"/>
      <c r="J172" s="137" t="str">
        <f>'Allgemeine Angaben'!C108</f>
        <v/>
      </c>
    </row>
    <row r="173" spans="1:12">
      <c r="A173" s="819" t="str">
        <f>IF(AND('Schutzprüf-Checkliste'!I72=TRUE,OR(J173="x",J173="NICHT OK")),'Allgemeine Angaben'!A114,"")</f>
        <v/>
      </c>
      <c r="B173" s="773"/>
      <c r="C173" s="773"/>
      <c r="D173" s="773"/>
      <c r="E173" s="773"/>
      <c r="F173" s="773"/>
      <c r="G173" s="773"/>
      <c r="H173" s="773"/>
      <c r="I173" s="780"/>
      <c r="J173" s="137" t="str">
        <f>'Allgemeine Angaben'!C114</f>
        <v/>
      </c>
    </row>
    <row r="174" spans="1:12" hidden="1">
      <c r="A174" s="819" t="str">
        <f>IF(AND('Schutzprüf-Checkliste'!K72=TRUE,OR(J174="x",J174="NICHT OK")),'Allgemeine Angaben'!A115,"")</f>
        <v/>
      </c>
      <c r="B174" s="773"/>
      <c r="C174" s="773"/>
      <c r="D174" s="773"/>
      <c r="E174" s="773"/>
      <c r="F174" s="773"/>
      <c r="G174" s="773"/>
      <c r="H174" s="773"/>
      <c r="I174" s="780"/>
      <c r="J174" s="137" t="str">
        <f>'Allgemeine Angaben'!C115</f>
        <v/>
      </c>
    </row>
    <row r="175" spans="1:12" hidden="1">
      <c r="A175" s="819" t="str">
        <f>IF(OR('Schutzprüf-Checkliste'!E77="x",'Schutzprüf-Checkliste'!E78="x",'Schutzprüf-Checkliste'!E77="!",'Schutzprüf-Checkliste'!E78="!"),"Trafoschutzfunktion(en) löst Schalter aus","")</f>
        <v/>
      </c>
      <c r="B175" s="773"/>
      <c r="C175" s="773"/>
      <c r="D175" s="773"/>
      <c r="E175" s="773"/>
      <c r="F175" s="773"/>
      <c r="G175" s="773"/>
      <c r="H175" s="773"/>
      <c r="I175" s="780"/>
      <c r="J175" s="137" t="str">
        <f>IF(OR('Schutzprüf-Checkliste'!E77="!",'Schutzprüf-Checkliste'!E78="!"),"NICHT OK",IF(OR('Schutzprüf-Checkliste'!E77="x",'Schutzprüf-Checkliste'!E78="x"),"x",""))</f>
        <v/>
      </c>
    </row>
    <row r="176" spans="1:12" ht="12.75" hidden="1">
      <c r="A176" s="902" t="str">
        <f>IF(IFERROR(Daten!O107,"fehler")="fehler","",'Allgemeine Angaben'!C111)</f>
        <v/>
      </c>
      <c r="B176" s="773"/>
      <c r="C176" s="773"/>
      <c r="D176" s="773"/>
      <c r="E176" s="773"/>
      <c r="F176" s="773"/>
      <c r="G176" s="773"/>
      <c r="H176" s="773"/>
      <c r="I176" s="780"/>
      <c r="J176" s="686"/>
    </row>
    <row r="177" spans="1:10" ht="12.75" hidden="1">
      <c r="A177" s="902" t="str">
        <f>IF(IFERROR(Daten!O108,"fehler")="fehler","",'Allgemeine Angaben'!C112)</f>
        <v/>
      </c>
      <c r="B177" s="773"/>
      <c r="C177" s="773"/>
      <c r="D177" s="773"/>
      <c r="E177" s="773"/>
      <c r="F177" s="773"/>
      <c r="G177" s="773"/>
      <c r="H177" s="773"/>
      <c r="I177" s="780"/>
      <c r="J177" s="686"/>
    </row>
    <row r="178" spans="1:10" ht="12.75">
      <c r="A178" s="908" t="s">
        <v>483</v>
      </c>
      <c r="B178" s="773"/>
      <c r="C178" s="773"/>
      <c r="D178" s="773"/>
      <c r="E178" s="773"/>
      <c r="F178" s="773"/>
      <c r="G178" s="773"/>
      <c r="H178" s="773"/>
      <c r="I178" s="780"/>
      <c r="J178" s="686"/>
    </row>
    <row r="179" spans="1:10" ht="12.75">
      <c r="A179" s="900" t="s">
        <v>484</v>
      </c>
      <c r="B179" s="773"/>
      <c r="C179" s="773"/>
      <c r="D179" s="773"/>
      <c r="E179" s="773"/>
      <c r="F179" s="773"/>
      <c r="G179" s="773"/>
      <c r="H179" s="773"/>
      <c r="I179" s="780"/>
      <c r="J179" s="686"/>
    </row>
    <row r="180" spans="1:10" hidden="1">
      <c r="A180" s="819" t="str">
        <f>IF('Schutzprüf-Checkliste'!E75="x","Prüfklemmleiste vorhanden","")</f>
        <v/>
      </c>
      <c r="B180" s="773"/>
      <c r="C180" s="773"/>
      <c r="D180" s="773"/>
      <c r="E180" s="773"/>
      <c r="F180" s="773"/>
      <c r="G180" s="773"/>
      <c r="H180" s="773"/>
      <c r="I180" s="780"/>
      <c r="J180" s="578" t="str">
        <f>IF('Schutzprüf-Checkliste'!E75="x","x","")</f>
        <v/>
      </c>
    </row>
    <row r="181" spans="1:10">
      <c r="A181" s="819" t="s">
        <v>485</v>
      </c>
      <c r="B181" s="773"/>
      <c r="C181" s="773"/>
      <c r="D181" s="773"/>
      <c r="E181" s="773"/>
      <c r="F181" s="773"/>
      <c r="G181" s="773"/>
      <c r="H181" s="773"/>
      <c r="I181" s="780"/>
      <c r="J181" s="137" t="s">
        <v>251</v>
      </c>
    </row>
    <row r="182" spans="1:10">
      <c r="A182" s="819" t="str">
        <f>IF(OR('Schutzprüf-Checkliste'!E74="x",'Schutzprüf-Checkliste'!E74="!"),"DC USV für übergeordneter Schutz/ggfs. UMZ-Schutz in Ordnung","")</f>
        <v/>
      </c>
      <c r="B182" s="773"/>
      <c r="C182" s="773"/>
      <c r="D182" s="773"/>
      <c r="E182" s="773"/>
      <c r="F182" s="773"/>
      <c r="G182" s="773"/>
      <c r="H182" s="773"/>
      <c r="I182" s="780"/>
      <c r="J182" s="137" t="str">
        <f>'Allgemeine Angaben'!C109</f>
        <v/>
      </c>
    </row>
    <row r="183" spans="1:10" ht="12.75" hidden="1">
      <c r="A183" s="818" t="str">
        <f>IF('Schutzprüf-Checkliste'!E79="x", "Ruhestromüberwachung bei räumlicher Trennung Schutz/Schalter vorhanden","")</f>
        <v/>
      </c>
      <c r="B183" s="679"/>
      <c r="C183" s="679"/>
      <c r="D183" s="679"/>
      <c r="E183" s="679"/>
      <c r="F183" s="679"/>
      <c r="G183" s="679"/>
      <c r="H183" s="679"/>
      <c r="I183" s="679"/>
      <c r="J183" s="680"/>
    </row>
    <row r="184" spans="1:10" ht="12.75">
      <c r="A184" s="816" t="str">
        <f>IF(OR(J167="NICHT OK",J168="NICHT OK"), "Die Schutzeinrichtung ist nicht funktionstüchtig!", "Die Schutzeinrichtung ist funktionstüchtig!")</f>
        <v>Die Schutzeinrichtung ist funktionstüchtig!</v>
      </c>
      <c r="B184" s="670"/>
      <c r="C184" s="670"/>
      <c r="D184" s="670"/>
      <c r="E184" s="670"/>
      <c r="F184" s="670"/>
      <c r="G184" s="670"/>
      <c r="H184" s="670"/>
      <c r="I184" s="670"/>
      <c r="J184" s="671"/>
    </row>
    <row r="185" spans="1:10" ht="29.25" customHeight="1">
      <c r="A185" s="4"/>
      <c r="B185" s="5"/>
      <c r="C185" s="5"/>
      <c r="D185" s="5"/>
      <c r="E185" s="5"/>
      <c r="F185" s="5"/>
      <c r="G185" s="6"/>
      <c r="H185" s="886" t="str">
        <f>IF('Allgemeine Angaben'!C7="Gunnar Schäfer",'Allgemeine Angaben'!D7,'Allgemeine Angaben'!E7)</f>
        <v>Bild</v>
      </c>
      <c r="I185" s="696"/>
      <c r="J185" s="697"/>
    </row>
    <row r="186" spans="1:10" ht="12.75">
      <c r="A186" s="869" t="s">
        <v>486</v>
      </c>
      <c r="B186" s="793"/>
      <c r="C186" s="793"/>
      <c r="D186" s="827" t="str">
        <f>IF('Allgemeine Angaben'!C8="x", "Prüfort","")</f>
        <v>Prüfort</v>
      </c>
      <c r="E186" s="793"/>
      <c r="F186" s="828"/>
      <c r="G186" s="580" t="s">
        <v>487</v>
      </c>
      <c r="H186" s="673"/>
      <c r="I186" s="780"/>
      <c r="J186" s="686"/>
    </row>
    <row r="187" spans="1:10" ht="12.75">
      <c r="A187" s="892" t="str">
        <f>'Allgemeine Angaben'!C7</f>
        <v>Kevin Koehn</v>
      </c>
      <c r="B187" s="778"/>
      <c r="C187" s="850"/>
      <c r="D187" s="889">
        <f>IF('Allgemeine Angaben'!C8="x", 'Schutzprüf-Checkliste'!B4,"")</f>
        <v>0</v>
      </c>
      <c r="E187" s="778"/>
      <c r="F187" s="850"/>
      <c r="G187" s="474">
        <f>'Schutzprüf-Checkliste'!B7</f>
        <v>46163</v>
      </c>
      <c r="H187" s="673"/>
      <c r="I187" s="780"/>
      <c r="J187" s="686"/>
    </row>
    <row r="188" spans="1:10">
      <c r="A188" s="898"/>
      <c r="B188" s="773"/>
      <c r="C188" s="773"/>
      <c r="D188" s="773"/>
      <c r="E188" s="773"/>
      <c r="F188" s="773"/>
      <c r="G188" s="686"/>
      <c r="H188" s="673"/>
      <c r="I188" s="780"/>
      <c r="J188" s="686"/>
    </row>
    <row r="189" spans="1:10">
      <c r="A189" s="674"/>
      <c r="B189" s="679"/>
      <c r="C189" s="679"/>
      <c r="D189" s="679"/>
      <c r="E189" s="679"/>
      <c r="F189" s="679"/>
      <c r="G189" s="680"/>
      <c r="H189" s="674"/>
      <c r="I189" s="679"/>
      <c r="J189" s="680"/>
    </row>
  </sheetData>
  <mergeCells count="291">
    <mergeCell ref="A1:J1"/>
    <mergeCell ref="D87:E87"/>
    <mergeCell ref="H115:I115"/>
    <mergeCell ref="D36:J36"/>
    <mergeCell ref="H14:J14"/>
    <mergeCell ref="A95:B95"/>
    <mergeCell ref="A160:B160"/>
    <mergeCell ref="A141:B141"/>
    <mergeCell ref="A36:C36"/>
    <mergeCell ref="A29:B29"/>
    <mergeCell ref="C8:E8"/>
    <mergeCell ref="A11:J11"/>
    <mergeCell ref="A121:B121"/>
    <mergeCell ref="C97:E97"/>
    <mergeCell ref="H116:I116"/>
    <mergeCell ref="A57:J57"/>
    <mergeCell ref="H10:J10"/>
    <mergeCell ref="A20:E20"/>
    <mergeCell ref="F14:G14"/>
    <mergeCell ref="G120:G121"/>
    <mergeCell ref="A67:B67"/>
    <mergeCell ref="A126:J126"/>
    <mergeCell ref="H15:J15"/>
    <mergeCell ref="E154:F154"/>
    <mergeCell ref="A178:J178"/>
    <mergeCell ref="C109:E109"/>
    <mergeCell ref="H140:I140"/>
    <mergeCell ref="D121:E121"/>
    <mergeCell ref="A72:B72"/>
    <mergeCell ref="A138:F138"/>
    <mergeCell ref="D80:E82"/>
    <mergeCell ref="A84:B84"/>
    <mergeCell ref="H120:I121"/>
    <mergeCell ref="H148:I148"/>
    <mergeCell ref="A137:B137"/>
    <mergeCell ref="C152:C156"/>
    <mergeCell ref="H160:I160"/>
    <mergeCell ref="H141:I141"/>
    <mergeCell ref="A157:B158"/>
    <mergeCell ref="C68:E68"/>
    <mergeCell ref="H131:I131"/>
    <mergeCell ref="D162:E162"/>
    <mergeCell ref="C110:J110"/>
    <mergeCell ref="A23:B23"/>
    <mergeCell ref="A175:I175"/>
    <mergeCell ref="E139:F139"/>
    <mergeCell ref="A124:B124"/>
    <mergeCell ref="H139:I139"/>
    <mergeCell ref="A66:B66"/>
    <mergeCell ref="A38:B38"/>
    <mergeCell ref="E54:F54"/>
    <mergeCell ref="A149:C149"/>
    <mergeCell ref="F122:F123"/>
    <mergeCell ref="A152:A156"/>
    <mergeCell ref="A188:G189"/>
    <mergeCell ref="C78:E78"/>
    <mergeCell ref="E61:F61"/>
    <mergeCell ref="A172:I172"/>
    <mergeCell ref="A170:I170"/>
    <mergeCell ref="A164:B164"/>
    <mergeCell ref="A179:J179"/>
    <mergeCell ref="A106:B106"/>
    <mergeCell ref="H149:I149"/>
    <mergeCell ref="A177:J177"/>
    <mergeCell ref="H145:I145"/>
    <mergeCell ref="A102:B102"/>
    <mergeCell ref="C98:J98"/>
    <mergeCell ref="A94:B94"/>
    <mergeCell ref="A119:B119"/>
    <mergeCell ref="A134:J134"/>
    <mergeCell ref="H137:I137"/>
    <mergeCell ref="A176:J176"/>
    <mergeCell ref="A113:J113"/>
    <mergeCell ref="H128:J128"/>
    <mergeCell ref="H155:I155"/>
    <mergeCell ref="A64:B64"/>
    <mergeCell ref="A76:B76"/>
    <mergeCell ref="D64:E64"/>
    <mergeCell ref="H185:J189"/>
    <mergeCell ref="D106:E108"/>
    <mergeCell ref="A83:B83"/>
    <mergeCell ref="D28:J28"/>
    <mergeCell ref="E50:F50"/>
    <mergeCell ref="F15:G15"/>
    <mergeCell ref="C123:E123"/>
    <mergeCell ref="A161:B161"/>
    <mergeCell ref="D187:F187"/>
    <mergeCell ref="D143:E143"/>
    <mergeCell ref="A96:B96"/>
    <mergeCell ref="D161:E161"/>
    <mergeCell ref="A187:C187"/>
    <mergeCell ref="A77:B77"/>
    <mergeCell ref="A47:J47"/>
    <mergeCell ref="C92:J92"/>
    <mergeCell ref="A52:B54"/>
    <mergeCell ref="C30:J30"/>
    <mergeCell ref="H147:I147"/>
    <mergeCell ref="A62:J62"/>
    <mergeCell ref="A144:J144"/>
    <mergeCell ref="A31:B31"/>
    <mergeCell ref="A98:B99"/>
    <mergeCell ref="E49:F49"/>
    <mergeCell ref="A82:B82"/>
    <mergeCell ref="E141:F141"/>
    <mergeCell ref="C158:J158"/>
    <mergeCell ref="H40:H42"/>
    <mergeCell ref="A118:J118"/>
    <mergeCell ref="D142:E142"/>
    <mergeCell ref="H146:I146"/>
    <mergeCell ref="H153:I153"/>
    <mergeCell ref="A58:B58"/>
    <mergeCell ref="A114:B114"/>
    <mergeCell ref="A60:B60"/>
    <mergeCell ref="D119:E119"/>
    <mergeCell ref="D94:E96"/>
    <mergeCell ref="A123:B123"/>
    <mergeCell ref="A49:B51"/>
    <mergeCell ref="D75:E77"/>
    <mergeCell ref="A116:B116"/>
    <mergeCell ref="C73:E73"/>
    <mergeCell ref="H122:I123"/>
    <mergeCell ref="A81:B81"/>
    <mergeCell ref="A78:B78"/>
    <mergeCell ref="C69:J69"/>
    <mergeCell ref="C91:E91"/>
    <mergeCell ref="A74:B74"/>
    <mergeCell ref="A163:B163"/>
    <mergeCell ref="A186:C186"/>
    <mergeCell ref="F12:J12"/>
    <mergeCell ref="A65:B65"/>
    <mergeCell ref="A127:J127"/>
    <mergeCell ref="H13:J13"/>
    <mergeCell ref="E152:F152"/>
    <mergeCell ref="D120:E120"/>
    <mergeCell ref="A75:B75"/>
    <mergeCell ref="D163:E163"/>
    <mergeCell ref="A80:B80"/>
    <mergeCell ref="D116:E116"/>
    <mergeCell ref="C93:J93"/>
    <mergeCell ref="C124:J124"/>
    <mergeCell ref="C122:E122"/>
    <mergeCell ref="A120:B120"/>
    <mergeCell ref="C58:F58"/>
    <mergeCell ref="A55:B55"/>
    <mergeCell ref="A115:B115"/>
    <mergeCell ref="A171:I171"/>
    <mergeCell ref="A180:I180"/>
    <mergeCell ref="D70:E72"/>
    <mergeCell ref="C9:E9"/>
    <mergeCell ref="G138:J138"/>
    <mergeCell ref="A90:B90"/>
    <mergeCell ref="A2:J2"/>
    <mergeCell ref="A86:J86"/>
    <mergeCell ref="A168:I168"/>
    <mergeCell ref="D37:G37"/>
    <mergeCell ref="I9:J9"/>
    <mergeCell ref="A22:J22"/>
    <mergeCell ref="H7:J7"/>
    <mergeCell ref="H16:J16"/>
    <mergeCell ref="F18:G18"/>
    <mergeCell ref="F17:G17"/>
    <mergeCell ref="A12:E12"/>
    <mergeCell ref="F9:H9"/>
    <mergeCell ref="C7:E7"/>
    <mergeCell ref="F120:F121"/>
    <mergeCell ref="F13:G13"/>
    <mergeCell ref="A140:B140"/>
    <mergeCell ref="A109:B109"/>
    <mergeCell ref="D114:E114"/>
    <mergeCell ref="D128:F128"/>
    <mergeCell ref="A151:J151"/>
    <mergeCell ref="A166:I166"/>
    <mergeCell ref="F7:G7"/>
    <mergeCell ref="A69:B69"/>
    <mergeCell ref="G60:J60"/>
    <mergeCell ref="F8:G8"/>
    <mergeCell ref="H8:J8"/>
    <mergeCell ref="A181:I181"/>
    <mergeCell ref="D27:H27"/>
    <mergeCell ref="A135:F135"/>
    <mergeCell ref="E137:F137"/>
    <mergeCell ref="H129:I129"/>
    <mergeCell ref="C157:J157"/>
    <mergeCell ref="E140:F140"/>
    <mergeCell ref="A145:C145"/>
    <mergeCell ref="A27:B27"/>
    <mergeCell ref="A101:B101"/>
    <mergeCell ref="C29:J29"/>
    <mergeCell ref="D44:J44"/>
    <mergeCell ref="H150:I150"/>
    <mergeCell ref="D160:E160"/>
    <mergeCell ref="E155:F155"/>
    <mergeCell ref="C99:J99"/>
    <mergeCell ref="H136:I136"/>
    <mergeCell ref="C84:J84"/>
    <mergeCell ref="C164:J164"/>
    <mergeCell ref="A174:I174"/>
    <mergeCell ref="A110:B111"/>
    <mergeCell ref="A122:B122"/>
    <mergeCell ref="D186:F186"/>
    <mergeCell ref="A3:J3"/>
    <mergeCell ref="C38:J38"/>
    <mergeCell ref="A117:B117"/>
    <mergeCell ref="A169:I169"/>
    <mergeCell ref="H154:I154"/>
    <mergeCell ref="E53:F53"/>
    <mergeCell ref="J120:J123"/>
    <mergeCell ref="C103:E103"/>
    <mergeCell ref="H32:H34"/>
    <mergeCell ref="A39:B39"/>
    <mergeCell ref="A13:E19"/>
    <mergeCell ref="H162:I162"/>
    <mergeCell ref="D115:E115"/>
    <mergeCell ref="H156:I156"/>
    <mergeCell ref="A159:J159"/>
    <mergeCell ref="A59:B59"/>
    <mergeCell ref="A142:B142"/>
    <mergeCell ref="A91:B91"/>
    <mergeCell ref="A100:B100"/>
    <mergeCell ref="D88:E90"/>
    <mergeCell ref="A103:B103"/>
    <mergeCell ref="D65:E67"/>
    <mergeCell ref="A61:B61"/>
    <mergeCell ref="A184:J184"/>
    <mergeCell ref="G135:J135"/>
    <mergeCell ref="C74:J74"/>
    <mergeCell ref="A88:B88"/>
    <mergeCell ref="A70:B70"/>
    <mergeCell ref="A167:I167"/>
    <mergeCell ref="A183:J183"/>
    <mergeCell ref="A182:I182"/>
    <mergeCell ref="A173:I173"/>
    <mergeCell ref="H114:I114"/>
    <mergeCell ref="E129:F131"/>
    <mergeCell ref="A92:B93"/>
    <mergeCell ref="A132:D132"/>
    <mergeCell ref="G122:G123"/>
    <mergeCell ref="A79:B79"/>
    <mergeCell ref="C79:J79"/>
    <mergeCell ref="A71:B71"/>
    <mergeCell ref="C105:J105"/>
    <mergeCell ref="C111:J111"/>
    <mergeCell ref="A139:B139"/>
    <mergeCell ref="A48:C48"/>
    <mergeCell ref="C60:F60"/>
    <mergeCell ref="A97:B97"/>
    <mergeCell ref="C83:E83"/>
    <mergeCell ref="A165:J165"/>
    <mergeCell ref="A104:B105"/>
    <mergeCell ref="A162:B162"/>
    <mergeCell ref="D100:E102"/>
    <mergeCell ref="A63:J63"/>
    <mergeCell ref="H152:I152"/>
    <mergeCell ref="E51:F51"/>
    <mergeCell ref="E156:F156"/>
    <mergeCell ref="H161:I161"/>
    <mergeCell ref="E153:F153"/>
    <mergeCell ref="E52:F52"/>
    <mergeCell ref="A68:B68"/>
    <mergeCell ref="E136:F136"/>
    <mergeCell ref="C104:J104"/>
    <mergeCell ref="A128:C128"/>
    <mergeCell ref="C55:J55"/>
    <mergeCell ref="H119:I119"/>
    <mergeCell ref="A136:B136"/>
    <mergeCell ref="A87:B87"/>
    <mergeCell ref="H130:I130"/>
    <mergeCell ref="G21:J21"/>
    <mergeCell ref="A89:B89"/>
    <mergeCell ref="C117:J117"/>
    <mergeCell ref="A108:B108"/>
    <mergeCell ref="F16:G16"/>
    <mergeCell ref="A73:B73"/>
    <mergeCell ref="A37:C37"/>
    <mergeCell ref="A107:B107"/>
    <mergeCell ref="H19:J19"/>
    <mergeCell ref="G51:J51"/>
    <mergeCell ref="A24:A26"/>
    <mergeCell ref="C45:J45"/>
    <mergeCell ref="H18:J18"/>
    <mergeCell ref="F20:H20"/>
    <mergeCell ref="H17:J17"/>
    <mergeCell ref="D35:H35"/>
    <mergeCell ref="A40:A42"/>
    <mergeCell ref="A21:E21"/>
    <mergeCell ref="F19:G19"/>
    <mergeCell ref="I20:J20"/>
    <mergeCell ref="A32:A34"/>
    <mergeCell ref="E48:F48"/>
    <mergeCell ref="A44:C44"/>
    <mergeCell ref="D43:H43"/>
  </mergeCells>
  <conditionalFormatting sqref="J167">
    <cfRule type="cellIs" dxfId="10" priority="6" operator="equal">
      <formula>"NICHT OK"</formula>
    </cfRule>
  </conditionalFormatting>
  <conditionalFormatting sqref="J168:J175">
    <cfRule type="cellIs" dxfId="9" priority="5" operator="equal">
      <formula>"NICHT OK"</formula>
    </cfRule>
  </conditionalFormatting>
  <conditionalFormatting sqref="A184:J184">
    <cfRule type="expression" dxfId="8" priority="4">
      <formula>OR(J167="NICHT OK",J168="NICHT OK")</formula>
    </cfRule>
  </conditionalFormatting>
  <conditionalFormatting sqref="C92:J92">
    <cfRule type="cellIs" dxfId="7" priority="1" operator="equal">
      <formula>"Keine Auslösung NSHV-LS"</formula>
    </cfRule>
    <cfRule type="cellIs" dxfId="6" priority="2" operator="equal">
      <formula>"Keine Auslösung MSA"</formula>
    </cfRule>
    <cfRule type="cellIs" dxfId="5" priority="3" operator="equal">
      <formula>FALSE</formula>
    </cfRule>
  </conditionalFormatting>
  <conditionalFormatting sqref="J182">
    <cfRule type="cellIs" dxfId="4" priority="7" operator="equal">
      <formula>"NICHT OK"</formula>
    </cfRule>
  </conditionalFormatting>
  <conditionalFormatting sqref="A3">
    <cfRule type="cellIs" dxfId="2" priority="8" stopIfTrue="1" operator="equal">
      <formula>"Station gesperrt - Nicht alle Schutzfunktionen in Ordnung"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&amp;L&amp;D&amp;RSeite &amp;P von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Tabelle7.StartePDFDruck">
                <anchor moveWithCells="1" sizeWithCells="1">
                  <from>
                    <xdr:col>11</xdr:col>
                    <xdr:colOff>0</xdr:colOff>
                    <xdr:row>5</xdr:row>
                    <xdr:rowOff>247650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Tabelle1.Protokollnummer_generieren_unsichtbar">
                <anchor moveWithCells="1" sizeWithCells="1">
                  <from>
                    <xdr:col>11</xdr:col>
                    <xdr:colOff>0</xdr:colOff>
                    <xdr:row>0</xdr:row>
                    <xdr:rowOff>152400</xdr:rowOff>
                  </from>
                  <to>
                    <xdr:col>13</xdr:col>
                    <xdr:colOff>390525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Tabelle7.ZeilenAusblendenWennLeer">
                <anchor moveWithCells="1" sizeWithCells="1">
                  <from>
                    <xdr:col>11</xdr:col>
                    <xdr:colOff>28575</xdr:colOff>
                    <xdr:row>5</xdr:row>
                    <xdr:rowOff>38100</xdr:rowOff>
                  </from>
                  <to>
                    <xdr:col>14</xdr:col>
                    <xdr:colOff>0</xdr:colOff>
                    <xdr:row>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4"/>
  <dimension ref="A1:I162"/>
  <sheetViews>
    <sheetView topLeftCell="A40" zoomScale="130" zoomScaleNormal="130" zoomScalePageLayoutView="130" workbookViewId="0">
      <selection activeCell="H51" sqref="H51"/>
    </sheetView>
  </sheetViews>
  <sheetFormatPr baseColWidth="10" defaultRowHeight="12"/>
  <cols>
    <col min="1" max="1" width="11" style="2" customWidth="1"/>
    <col min="2" max="2" width="2.85546875" style="2" customWidth="1"/>
    <col min="3" max="3" width="15" style="2" customWidth="1"/>
    <col min="4" max="4" width="10.140625" style="2" customWidth="1"/>
    <col min="5" max="5" width="3.28515625" style="2" customWidth="1"/>
    <col min="6" max="6" width="7.85546875" style="2" customWidth="1"/>
    <col min="7" max="7" width="13.28515625" style="2" customWidth="1"/>
    <col min="8" max="9" width="11.85546875" style="2" customWidth="1"/>
    <col min="10" max="11" width="11.42578125" style="2" customWidth="1"/>
    <col min="12" max="16384" width="11.42578125" style="2"/>
  </cols>
  <sheetData>
    <row r="1" spans="1:9" ht="13.5" customHeight="1">
      <c r="A1" s="913" t="s">
        <v>367</v>
      </c>
      <c r="B1" s="670"/>
      <c r="C1" s="670"/>
      <c r="D1" s="670"/>
      <c r="E1" s="670"/>
      <c r="F1" s="670"/>
      <c r="G1" s="670"/>
      <c r="H1" s="670"/>
      <c r="I1" s="671"/>
    </row>
    <row r="2" spans="1:9" ht="11.25" customHeight="1">
      <c r="A2" s="856" t="s">
        <v>488</v>
      </c>
      <c r="B2" s="670"/>
      <c r="C2" s="670"/>
      <c r="D2" s="670"/>
      <c r="E2" s="670"/>
      <c r="F2" s="670"/>
      <c r="G2" s="670"/>
      <c r="H2" s="670"/>
      <c r="I2" s="671"/>
    </row>
    <row r="3" spans="1:9" ht="12.75" customHeight="1">
      <c r="A3" s="800" t="s">
        <v>369</v>
      </c>
      <c r="B3" s="670"/>
      <c r="C3" s="670"/>
      <c r="D3" s="670"/>
      <c r="E3" s="670"/>
      <c r="F3" s="670"/>
      <c r="G3" s="670"/>
      <c r="H3" s="670"/>
      <c r="I3" s="671"/>
    </row>
    <row r="4" spans="1:9" ht="19.5" customHeight="1">
      <c r="A4" s="70"/>
      <c r="B4" s="8"/>
      <c r="C4" s="8" t="s">
        <v>370</v>
      </c>
      <c r="D4" s="461"/>
      <c r="E4" s="9"/>
      <c r="F4" s="10"/>
      <c r="G4" s="11"/>
      <c r="I4" s="54"/>
    </row>
    <row r="5" spans="1:9" ht="12.75" customHeight="1">
      <c r="A5" s="71"/>
      <c r="B5" s="8"/>
      <c r="C5" s="8" t="s">
        <v>371</v>
      </c>
      <c r="D5" s="461"/>
      <c r="E5" s="9"/>
      <c r="F5" s="10"/>
      <c r="G5" s="11"/>
      <c r="H5" s="9"/>
      <c r="I5" s="54"/>
    </row>
    <row r="6" spans="1:9" ht="19.5" customHeight="1">
      <c r="A6" s="72"/>
      <c r="B6" s="462"/>
      <c r="C6" s="462" t="s">
        <v>372</v>
      </c>
      <c r="D6" s="463"/>
      <c r="E6" s="464"/>
      <c r="H6" s="9"/>
      <c r="I6" s="54"/>
    </row>
    <row r="7" spans="1:9" ht="16.5" customHeight="1">
      <c r="A7" s="460" t="s">
        <v>373</v>
      </c>
      <c r="B7" s="461"/>
      <c r="C7" s="864" t="str">
        <f>IF('Allgemeine Angaben'!C7= "Kevin Koehn", 'Allgemeine Angaben'!U7,'Allgemeine Angaben'!H7)</f>
        <v xml:space="preserve">k.koehn@ges-energietechnik.com </v>
      </c>
      <c r="D7" s="773"/>
      <c r="E7" s="773"/>
      <c r="F7" s="945" t="str">
        <f>IF('Allgemeine Angaben'!C8="x", IF(('Allgemeine Angaben'!C137=0),"","Ort der Prüfung:"),"")</f>
        <v/>
      </c>
      <c r="G7" s="778"/>
      <c r="H7" s="859" t="str">
        <f>IF('Allgemeine Angaben'!C8="x",IF(('Allgemeine Angaben'!C137=0),"",'Allgemeine Angaben'!C137),"")</f>
        <v/>
      </c>
      <c r="I7" s="850"/>
    </row>
    <row r="8" spans="1:9" ht="12.75">
      <c r="A8" s="73" t="s">
        <v>374</v>
      </c>
      <c r="B8" s="100"/>
      <c r="C8" s="918" t="str">
        <f>IF('Allgemeine Angaben'!C7= "Kevin Koehn", 'Allgemeine Angaben'!G7,'Allgemeine Angaben'!F7)</f>
        <v>+49 1515 8452716</v>
      </c>
      <c r="D8" s="773"/>
      <c r="E8" s="773"/>
      <c r="F8" s="840" t="s">
        <v>363</v>
      </c>
      <c r="G8" s="773"/>
      <c r="H8" s="841">
        <f>'Allgemeine Angaben'!C138</f>
        <v>46163</v>
      </c>
      <c r="I8" s="686"/>
    </row>
    <row r="9" spans="1:9" ht="12.75">
      <c r="A9" s="74" t="s">
        <v>375</v>
      </c>
      <c r="B9" s="183"/>
      <c r="C9" s="855" t="str">
        <f>'Schutzprüf-Checkliste'!B6</f>
        <v>bitte wählen!</v>
      </c>
      <c r="D9" s="773"/>
      <c r="E9" s="773"/>
      <c r="F9" s="958"/>
      <c r="G9" s="773"/>
      <c r="H9" s="959"/>
      <c r="I9" s="686"/>
    </row>
    <row r="10" spans="1:9" ht="7.5" customHeight="1">
      <c r="A10" s="957"/>
      <c r="B10" s="679"/>
      <c r="C10" s="679"/>
      <c r="D10" s="679"/>
      <c r="E10" s="679"/>
      <c r="F10" s="679"/>
      <c r="G10" s="679"/>
      <c r="H10" s="679"/>
      <c r="I10" s="680"/>
    </row>
    <row r="11" spans="1:9" ht="12.75" customHeight="1">
      <c r="A11" s="800" t="s">
        <v>377</v>
      </c>
      <c r="B11" s="670"/>
      <c r="C11" s="670"/>
      <c r="D11" s="670"/>
      <c r="E11" s="670"/>
      <c r="F11" s="670"/>
      <c r="G11" s="670"/>
      <c r="H11" s="670"/>
      <c r="I11" s="671"/>
    </row>
    <row r="12" spans="1:9" ht="12.75">
      <c r="A12" s="862" t="s">
        <v>378</v>
      </c>
      <c r="B12" s="670"/>
      <c r="C12" s="670"/>
      <c r="D12" s="670"/>
      <c r="E12" s="671"/>
      <c r="F12" s="862" t="s">
        <v>379</v>
      </c>
      <c r="G12" s="670"/>
      <c r="H12" s="670"/>
      <c r="I12" s="671"/>
    </row>
    <row r="13" spans="1:9" ht="12" customHeight="1">
      <c r="A13" s="865" t="str">
        <f>'Allgemeine Angaben'!C2</f>
        <v>Faber E-Tec GmbH
Bachstraße 21
D-32257 Bünde</v>
      </c>
      <c r="B13" s="696"/>
      <c r="C13" s="696"/>
      <c r="D13" s="696"/>
      <c r="E13" s="697"/>
      <c r="F13" s="860" t="s">
        <v>238</v>
      </c>
      <c r="G13" s="773"/>
      <c r="H13" s="779">
        <f>'Allgemeine Angaben'!C3</f>
        <v>0</v>
      </c>
      <c r="I13" s="686"/>
    </row>
    <row r="14" spans="1:9" ht="12.75">
      <c r="A14" s="673"/>
      <c r="B14" s="773"/>
      <c r="C14" s="773"/>
      <c r="D14" s="773"/>
      <c r="E14" s="686"/>
      <c r="F14" s="860" t="s">
        <v>380</v>
      </c>
      <c r="G14" s="773"/>
      <c r="H14" s="779" t="b">
        <f>IF('Schutzprüf-Checkliste'!E96="x", "Messfeld "&amp;'Schutzprüf-Checkliste'!D60&amp;" kV")</f>
        <v>0</v>
      </c>
      <c r="I14" s="686"/>
    </row>
    <row r="15" spans="1:9" ht="12.75">
      <c r="A15" s="673"/>
      <c r="B15" s="773"/>
      <c r="C15" s="773"/>
      <c r="D15" s="773"/>
      <c r="E15" s="686"/>
      <c r="F15" s="775" t="s">
        <v>359</v>
      </c>
      <c r="G15" s="773"/>
      <c r="H15" s="779">
        <f>IF(ISBLANK('Allgemeine Angaben'!D134),'Schutzprüf-Checkliste'!B10," ")</f>
        <v>0</v>
      </c>
      <c r="I15" s="686"/>
    </row>
    <row r="16" spans="1:9" ht="12.75">
      <c r="A16" s="673"/>
      <c r="B16" s="773"/>
      <c r="C16" s="773"/>
      <c r="D16" s="773"/>
      <c r="E16" s="686"/>
      <c r="F16" s="400" t="s">
        <v>376</v>
      </c>
      <c r="G16" s="401"/>
      <c r="H16" s="946" t="str">
        <f>"zugehörig zu: " &amp;'Allgemeine Angaben'!C5</f>
        <v>zugehörig zu: 2026.5.03.05</v>
      </c>
      <c r="I16" s="686"/>
    </row>
    <row r="17" spans="1:9" ht="12.75">
      <c r="A17" s="673"/>
      <c r="B17" s="773"/>
      <c r="C17" s="773"/>
      <c r="D17" s="773"/>
      <c r="E17" s="686"/>
      <c r="F17" s="861"/>
      <c r="G17" s="773"/>
      <c r="H17" s="779"/>
      <c r="I17" s="686"/>
    </row>
    <row r="18" spans="1:9" ht="12.75">
      <c r="A18" s="933" t="s">
        <v>256</v>
      </c>
      <c r="B18" s="670"/>
      <c r="C18" s="670"/>
      <c r="D18" s="670"/>
      <c r="E18" s="670"/>
      <c r="F18" s="670"/>
      <c r="G18" s="670"/>
      <c r="H18" s="670"/>
      <c r="I18" s="671"/>
    </row>
    <row r="19" spans="1:9" ht="12.75">
      <c r="A19" s="933" t="s">
        <v>158</v>
      </c>
      <c r="B19" s="670"/>
      <c r="C19" s="670"/>
      <c r="D19" s="670"/>
      <c r="E19" s="670"/>
      <c r="F19" s="670"/>
      <c r="G19" s="670"/>
      <c r="H19" s="670"/>
      <c r="I19" s="671"/>
    </row>
    <row r="20" spans="1:9" ht="12.75">
      <c r="A20" s="796" t="s">
        <v>272</v>
      </c>
      <c r="B20" s="671"/>
      <c r="C20" s="3" t="s">
        <v>286</v>
      </c>
      <c r="D20" s="215" t="s">
        <v>489</v>
      </c>
      <c r="E20" s="215"/>
      <c r="F20" s="529" t="s">
        <v>490</v>
      </c>
      <c r="G20" s="182" t="s">
        <v>278</v>
      </c>
      <c r="H20" s="180" t="s">
        <v>491</v>
      </c>
      <c r="I20" s="181" t="str">
        <f>'Schutzprüf-Checkliste'!D50 &amp; "kV/ √3"</f>
        <v>kV/ √3</v>
      </c>
    </row>
    <row r="21" spans="1:9" ht="15" customHeight="1">
      <c r="A21" s="782" t="str">
        <f>IF(ISBLANK('Allgemeine Angaben'!C34),"-",('Allgemeine Angaben'!C35))</f>
        <v>RITZ
EGSES 24D</v>
      </c>
      <c r="B21" s="570" t="s">
        <v>54</v>
      </c>
      <c r="C21" s="217">
        <f>IF(ISBLANK('Allgemeine Angaben'!C34),"-",('Allgemeine Angaben'!C36))</f>
        <v>0</v>
      </c>
      <c r="D21" s="537" t="str">
        <f>IF(ISBLANK('Allgemeine Angaben'!C34),"-",('Schutzprüf-Checkliste'!G47))</f>
        <v/>
      </c>
      <c r="E21" s="535" t="s">
        <v>492</v>
      </c>
      <c r="F21" s="537" t="str">
        <f>IF(ISBLANK('Allgemeine Angaben'!C34),"-",('Allgemeine Angaben'!D47))</f>
        <v/>
      </c>
      <c r="G21" s="190" t="str">
        <f>IF(ISBLANK('Allgemeine Angaben'!C34),"-",('Allgemeine Angaben'!D41))</f>
        <v/>
      </c>
      <c r="H21" s="187"/>
      <c r="I21" s="536" t="s">
        <v>493</v>
      </c>
    </row>
    <row r="22" spans="1:9" ht="15" customHeight="1">
      <c r="A22" s="673"/>
      <c r="B22" s="570" t="s">
        <v>55</v>
      </c>
      <c r="C22" s="217">
        <f>IF(ISBLANK('Allgemeine Angaben'!C34),"-",('Allgemeine Angaben'!C37))</f>
        <v>0</v>
      </c>
      <c r="D22" s="537" t="str">
        <f>IF(ISBLANK('Allgemeine Angaben'!C34),"-",('Schutzprüf-Checkliste'!G48))</f>
        <v/>
      </c>
      <c r="E22" s="535" t="str">
        <f>IF('Schutzprüf-Checkliste'!K47=TRUE,"W2","-")</f>
        <v>-</v>
      </c>
      <c r="F22" s="351" t="str">
        <f>IF('Schutzprüf-Checkliste'!K47=FALSE,"-",'Allgemeine Angaben'!D49)</f>
        <v>-</v>
      </c>
      <c r="G22" s="351" t="str">
        <f>IF('Schutzprüf-Checkliste'!K47=FALSE,"-",'Allgemeine Angaben'!D43)</f>
        <v>-</v>
      </c>
      <c r="H22" s="10"/>
      <c r="I22" s="536" t="str">
        <f>IF((G22="-"),"-",("100 V / √3"))</f>
        <v>-</v>
      </c>
    </row>
    <row r="23" spans="1:9" ht="15" customHeight="1">
      <c r="A23" s="674"/>
      <c r="B23" s="570" t="s">
        <v>56</v>
      </c>
      <c r="C23" s="217">
        <f>IF(ISBLANK('Allgemeine Angaben'!C34),"-",('Allgemeine Angaben'!C38))</f>
        <v>0</v>
      </c>
      <c r="D23" s="537" t="str">
        <f>IF(ISBLANK('Allgemeine Angaben'!C34),"-",('Schutzprüf-Checkliste'!G49))</f>
        <v/>
      </c>
      <c r="E23" s="535" t="str">
        <f>IF('Schutzprüf-Checkliste'!I48=TRUE,"W3",IF('Schutzprüf-Checkliste'!K48=TRUE,"W3","-"))</f>
        <v>-</v>
      </c>
      <c r="F23" s="351" t="str">
        <f>IF(E23="-","-",'Allgemeine Angaben'!D51)</f>
        <v>-</v>
      </c>
      <c r="G23" s="351" t="str">
        <f>IF(E23="-","-",'Allgemeine Angaben'!D45)</f>
        <v>-</v>
      </c>
      <c r="H23" s="218"/>
      <c r="I23" s="536" t="str">
        <f>IF('Schutzprüf-Checkliste'!K48=TRUE,"100 V / 3",IF('Schutzprüf-Checkliste'!I48=TRUE,"100 V / 3","-"))</f>
        <v>-</v>
      </c>
    </row>
    <row r="24" spans="1:9" ht="12.75">
      <c r="A24" s="956" t="s">
        <v>494</v>
      </c>
      <c r="B24" s="670"/>
      <c r="C24" s="404">
        <f>'Allgemeine Angaben'!C39</f>
        <v>2024</v>
      </c>
      <c r="D24" s="404"/>
      <c r="F24" s="941" t="s">
        <v>495</v>
      </c>
      <c r="G24" s="670"/>
      <c r="H24" s="670"/>
      <c r="I24" s="536" t="str">
        <f>'Schutzprüf-Checkliste'!G51 &amp; " kV"</f>
        <v>FALSCH kV</v>
      </c>
    </row>
    <row r="25" spans="1:9" ht="12.75">
      <c r="A25" s="933" t="s">
        <v>496</v>
      </c>
      <c r="B25" s="670"/>
      <c r="C25" s="670"/>
      <c r="D25" s="670"/>
      <c r="E25" s="670"/>
      <c r="F25" s="670"/>
      <c r="G25" s="670"/>
      <c r="H25" s="670"/>
      <c r="I25" s="671"/>
    </row>
    <row r="26" spans="1:9" ht="12" customHeight="1">
      <c r="A26" s="796" t="s">
        <v>209</v>
      </c>
      <c r="B26" s="670"/>
      <c r="C26" s="671"/>
      <c r="D26" s="796" t="s">
        <v>497</v>
      </c>
      <c r="E26" s="670"/>
      <c r="F26" s="671"/>
      <c r="G26" s="3" t="s">
        <v>498</v>
      </c>
      <c r="H26" s="3" t="s">
        <v>499</v>
      </c>
      <c r="I26" s="3" t="s">
        <v>500</v>
      </c>
    </row>
    <row r="27" spans="1:9" ht="12" customHeight="1">
      <c r="A27" s="884" t="s">
        <v>501</v>
      </c>
      <c r="B27" s="697"/>
      <c r="C27" s="138" t="s">
        <v>502</v>
      </c>
      <c r="D27" s="947" t="str">
        <f>IF(Bürdemessung!D23="","-",Bürdemessung!B23)</f>
        <v>-</v>
      </c>
      <c r="E27" s="696"/>
      <c r="F27" s="697"/>
      <c r="G27" s="620" t="str">
        <f>IF(Bürdemessung!D23="","-",Bürdemessung!E23)</f>
        <v>-</v>
      </c>
      <c r="H27" s="620" t="str">
        <f>IF(Bürdemessung!D24="","-",Bürdemessung!E24)</f>
        <v>-</v>
      </c>
      <c r="I27" s="619" t="str">
        <f>IF(Bürdemessung!D25="","-",Bürdemessung!E25)</f>
        <v>-</v>
      </c>
    </row>
    <row r="28" spans="1:9" ht="12" customHeight="1">
      <c r="A28" s="673"/>
      <c r="B28" s="686"/>
      <c r="C28" s="405" t="s">
        <v>503</v>
      </c>
      <c r="D28" s="949" t="str">
        <f>IF(Bürdemessung!D26="","-",Bürdemessung!B26)</f>
        <v>-</v>
      </c>
      <c r="E28" s="773"/>
      <c r="F28" s="686"/>
      <c r="G28" s="623" t="str">
        <f>IF(Bürdemessung!D26="","-",Bürdemessung!D26)</f>
        <v>-</v>
      </c>
      <c r="H28" s="623" t="str">
        <f>IF(Bürdemessung!D27="","-",Bürdemessung!E27)</f>
        <v>-</v>
      </c>
      <c r="I28" s="622" t="str">
        <f>IF(Bürdemessung!D28="","-",Bürdemessung!E28)</f>
        <v>-</v>
      </c>
    </row>
    <row r="29" spans="1:9" ht="12" customHeight="1">
      <c r="A29" s="674"/>
      <c r="B29" s="680"/>
      <c r="C29" s="140" t="s">
        <v>504</v>
      </c>
      <c r="D29" s="938" t="str">
        <f>IF(Bürdemessung!D30="","-",Bürdemessung!B30)</f>
        <v>-</v>
      </c>
      <c r="E29" s="679"/>
      <c r="F29" s="680"/>
      <c r="G29" s="781" t="str">
        <f>IF(Bürdemessung!D30="","-",Bürdemessung!E30)</f>
        <v>-</v>
      </c>
      <c r="H29" s="679"/>
      <c r="I29" s="680"/>
    </row>
    <row r="30" spans="1:9" ht="12" customHeight="1">
      <c r="A30" s="878" t="s">
        <v>397</v>
      </c>
      <c r="B30" s="679"/>
      <c r="C30" s="811" t="s">
        <v>505</v>
      </c>
      <c r="D30" s="670"/>
      <c r="E30" s="670"/>
      <c r="F30" s="670"/>
      <c r="G30" s="670"/>
      <c r="H30" s="670"/>
      <c r="I30" s="671"/>
    </row>
    <row r="31" spans="1:9" ht="12" customHeight="1">
      <c r="A31" s="933" t="s">
        <v>506</v>
      </c>
      <c r="B31" s="670"/>
      <c r="C31" s="670"/>
      <c r="D31" s="670"/>
      <c r="E31" s="670"/>
      <c r="F31" s="670"/>
      <c r="G31" s="670"/>
      <c r="H31" s="670"/>
      <c r="I31" s="671"/>
    </row>
    <row r="32" spans="1:9" ht="12" customHeight="1">
      <c r="A32" s="866" t="s">
        <v>507</v>
      </c>
      <c r="B32" s="696"/>
      <c r="C32" s="696"/>
      <c r="D32" s="950" t="str">
        <f>IF(ISBLANK('Allgemeine Angaben'!C34),"-",('Allgemeine Angaben'!C52))</f>
        <v>0V L-N</v>
      </c>
      <c r="E32" s="696"/>
      <c r="F32" s="378"/>
      <c r="G32" s="518"/>
      <c r="H32" s="409"/>
      <c r="I32" s="410"/>
    </row>
    <row r="33" spans="1:9" ht="12" customHeight="1">
      <c r="A33" s="584" t="s">
        <v>508</v>
      </c>
      <c r="B33" s="577"/>
      <c r="C33" s="577" t="s">
        <v>502</v>
      </c>
      <c r="D33" s="805" t="s">
        <v>509</v>
      </c>
      <c r="E33" s="773"/>
      <c r="F33" s="951" t="s">
        <v>510</v>
      </c>
      <c r="G33" s="773"/>
      <c r="H33" s="905" t="s">
        <v>511</v>
      </c>
      <c r="I33" s="686"/>
    </row>
    <row r="34" spans="1:9" ht="12" customHeight="1">
      <c r="A34" s="584" t="s">
        <v>161</v>
      </c>
      <c r="B34" s="577"/>
      <c r="C34" s="577" t="str">
        <f>IF('Schutzprüf-Checkliste'!E111="x","1002 mV","-")</f>
        <v>-</v>
      </c>
      <c r="D34" s="805" t="str">
        <f>IF('Schutzprüf-Checkliste'!E114="x","1002 mV","-")</f>
        <v>-</v>
      </c>
      <c r="E34" s="773"/>
      <c r="F34" s="805" t="str">
        <f>IF('Schutzprüf-Checkliste'!E117="x","1002 mV","-")</f>
        <v>-</v>
      </c>
      <c r="G34" s="773"/>
      <c r="H34" s="939" t="str">
        <f>IF('Schutzprüf-Checkliste'!E120="x","590 mV","-")</f>
        <v>-</v>
      </c>
      <c r="I34" s="686"/>
    </row>
    <row r="35" spans="1:9" ht="12" customHeight="1">
      <c r="A35" s="584" t="s">
        <v>164</v>
      </c>
      <c r="B35" s="577"/>
      <c r="C35" s="577" t="str">
        <f>IF('Schutzprüf-Checkliste'!E112="x","1002 mV","-")</f>
        <v>-</v>
      </c>
      <c r="D35" s="805" t="str">
        <f>IF('Schutzprüf-Checkliste'!E115="x","1002 mV","-")</f>
        <v>-</v>
      </c>
      <c r="E35" s="773"/>
      <c r="F35" s="805" t="str">
        <f>IF('Schutzprüf-Checkliste'!E118="x","1002 mV","-")</f>
        <v>-</v>
      </c>
      <c r="G35" s="773"/>
      <c r="H35" s="939" t="str">
        <f>IF('Schutzprüf-Checkliste'!E121="x","590 mV","-")</f>
        <v>-</v>
      </c>
      <c r="I35" s="686"/>
    </row>
    <row r="36" spans="1:9" ht="12" customHeight="1">
      <c r="A36" s="584" t="s">
        <v>165</v>
      </c>
      <c r="B36" s="577"/>
      <c r="C36" s="577" t="str">
        <f>IF('Schutzprüf-Checkliste'!E113="x","1002 mV","-")</f>
        <v>-</v>
      </c>
      <c r="D36" s="805" t="str">
        <f>IF('Schutzprüf-Checkliste'!E116="x","1002 mV","-")</f>
        <v>-</v>
      </c>
      <c r="E36" s="773"/>
      <c r="F36" s="805" t="str">
        <f>IF('Schutzprüf-Checkliste'!E119="x","1002 mV","-")</f>
        <v>-</v>
      </c>
      <c r="G36" s="773"/>
      <c r="H36" s="939" t="str">
        <f>IF('Schutzprüf-Checkliste'!E122="x","590 mV","-")</f>
        <v>-</v>
      </c>
      <c r="I36" s="686"/>
    </row>
    <row r="37" spans="1:9" ht="12" customHeight="1">
      <c r="A37" s="411"/>
      <c r="B37" s="408"/>
      <c r="C37" s="408"/>
      <c r="D37" s="408"/>
      <c r="E37" s="408"/>
      <c r="F37" s="408"/>
      <c r="G37" s="521"/>
      <c r="H37" s="412" t="s">
        <v>512</v>
      </c>
      <c r="I37" s="576" t="str">
        <f>IF('Schutzprüf-Checkliste'!E123="x","0 mV","-")</f>
        <v>-</v>
      </c>
    </row>
    <row r="38" spans="1:9" ht="12" customHeight="1">
      <c r="A38" s="953" t="s">
        <v>397</v>
      </c>
      <c r="B38" s="773"/>
      <c r="C38" s="937" t="s">
        <v>513</v>
      </c>
      <c r="D38" s="696"/>
      <c r="E38" s="696"/>
      <c r="F38" s="696"/>
      <c r="G38" s="696"/>
      <c r="H38" s="696"/>
      <c r="I38" s="416" t="str">
        <f>IF(ISBLANK('Allgemeine Angaben'!C34),"-","JA")</f>
        <v>JA</v>
      </c>
    </row>
    <row r="39" spans="1:9" ht="12" customHeight="1">
      <c r="A39" s="954" t="s">
        <v>514</v>
      </c>
      <c r="B39" s="773"/>
      <c r="C39" s="773"/>
      <c r="D39" s="934" t="str">
        <f>IF(ISBLANK('Allgemeine Angaben'!C34),"-",('Allgemeine Angaben'!C53))</f>
        <v/>
      </c>
      <c r="E39" s="773"/>
      <c r="F39" s="773"/>
      <c r="G39" s="773"/>
      <c r="H39" s="773"/>
      <c r="I39" s="686"/>
    </row>
    <row r="40" spans="1:9" ht="12.75">
      <c r="A40" s="411"/>
      <c r="B40" s="408"/>
      <c r="C40" s="952"/>
      <c r="D40" s="679"/>
      <c r="E40" s="679"/>
      <c r="F40" s="679"/>
      <c r="G40" s="679"/>
      <c r="H40" s="679"/>
      <c r="I40" s="680"/>
    </row>
    <row r="41" spans="1:9" ht="12" customHeight="1">
      <c r="A41" s="933" t="s">
        <v>208</v>
      </c>
      <c r="B41" s="670"/>
      <c r="C41" s="670"/>
      <c r="D41" s="670"/>
      <c r="E41" s="670"/>
      <c r="F41" s="670"/>
      <c r="G41" s="670"/>
      <c r="H41" s="670"/>
      <c r="I41" s="671"/>
    </row>
    <row r="42" spans="1:9" ht="12" customHeight="1">
      <c r="A42" s="796" t="s">
        <v>272</v>
      </c>
      <c r="B42" s="671"/>
      <c r="C42" s="3" t="s">
        <v>286</v>
      </c>
      <c r="D42" s="215" t="s">
        <v>489</v>
      </c>
      <c r="E42" s="215"/>
      <c r="F42" s="529" t="s">
        <v>490</v>
      </c>
      <c r="G42" s="182" t="s">
        <v>278</v>
      </c>
      <c r="H42" s="180" t="s">
        <v>491</v>
      </c>
      <c r="I42" s="181" t="str">
        <f>'Schutzprüf-Checkliste'!D28&amp;" A"</f>
        <v xml:space="preserve"> A</v>
      </c>
    </row>
    <row r="43" spans="1:9" ht="15" customHeight="1">
      <c r="A43" s="782" t="str">
        <f>IF(ISBLANK('Allgemeine Angaben'!C55),"-",('Allgemeine Angaben'!C56))</f>
        <v>ZELISKO
ESGS 20/1</v>
      </c>
      <c r="B43" s="570" t="s">
        <v>54</v>
      </c>
      <c r="C43" s="570">
        <f>IF(ISBLANK('Allgemeine Angaben'!C55),"-",('Allgemeine Angaben'!C57))</f>
        <v>0</v>
      </c>
      <c r="D43" s="373" t="str">
        <f>IF(ISBLANK('Allgemeine Angaben'!C55),"-",('Schutzprüf-Checkliste'!G34))</f>
        <v/>
      </c>
      <c r="E43" s="535" t="s">
        <v>515</v>
      </c>
      <c r="F43" s="537" t="str">
        <f>IF(ISBLANK('Allgemeine Angaben'!C55),"-",('Allgemeine Angaben'!D64))</f>
        <v/>
      </c>
      <c r="G43" s="190" t="str">
        <f>IF(ISBLANK('Allgemeine Angaben'!C55),"-",('Allgemeine Angaben'!D61))</f>
        <v/>
      </c>
      <c r="H43" s="832"/>
      <c r="I43" s="536" t="str">
        <f>IF('Schutzprüf-Checkliste'!I32='Schutzprüf-Checkliste'!K32,"",IF('Schutzprüf-Checkliste'!I32=TRUE,'Schutzprüf-Checkliste'!J32,'Schutzprüf-Checkliste'!L32))</f>
        <v/>
      </c>
    </row>
    <row r="44" spans="1:9" ht="15" customHeight="1">
      <c r="A44" s="673"/>
      <c r="B44" s="570" t="s">
        <v>55</v>
      </c>
      <c r="C44" s="570">
        <f>IF(ISBLANK('Allgemeine Angaben'!C55),"-",('Allgemeine Angaben'!C58))</f>
        <v>0</v>
      </c>
      <c r="D44" s="373" t="str">
        <f>IF(ISBLANK('Allgemeine Angaben'!C56),"-",('Schutzprüf-Checkliste'!G35))</f>
        <v/>
      </c>
      <c r="E44" s="535" t="str">
        <f>IF('Schutzprüf-Checkliste'!M32=TRUE,"K2",IF('Schutzprüf-Checkliste'!O32,"K2",""))</f>
        <v/>
      </c>
      <c r="F44" s="537" t="str">
        <f>IF(ISBLANK('Allgemeine Angaben'!C55),"-",('Allgemeine Angaben'!D65))</f>
        <v/>
      </c>
      <c r="G44" s="190" t="str">
        <f>IF(ISBLANK('Allgemeine Angaben'!C55),"-",('Allgemeine Angaben'!D62))</f>
        <v/>
      </c>
      <c r="H44" s="773"/>
      <c r="I44" s="536" t="str">
        <f>IF('Schutzprüf-Checkliste'!M32='Schutzprüf-Checkliste'!O32,"",IF('Schutzprüf-Checkliste'!M32=TRUE,'Schutzprüf-Checkliste'!N32,'Schutzprüf-Checkliste'!P32))</f>
        <v/>
      </c>
    </row>
    <row r="45" spans="1:9" ht="15" customHeight="1">
      <c r="A45" s="674"/>
      <c r="B45" s="570" t="s">
        <v>56</v>
      </c>
      <c r="C45" s="570">
        <f>IF(ISBLANK('Allgemeine Angaben'!C55),"-",('Allgemeine Angaben'!C59))</f>
        <v>0</v>
      </c>
      <c r="D45" s="373" t="str">
        <f>IF(ISBLANK('Allgemeine Angaben'!C57),"-",('Schutzprüf-Checkliste'!G36))</f>
        <v>-</v>
      </c>
      <c r="E45" s="553" t="str">
        <f>IF('Schutzprüf-Checkliste'!Q32=TRUE,"K3",IF('Schutzprüf-Checkliste'!S32,"K3",""))</f>
        <v/>
      </c>
      <c r="F45" s="537" t="str">
        <f>IF(ISBLANK('Allgemeine Angaben'!C55),"-",('Allgemeine Angaben'!D66))</f>
        <v/>
      </c>
      <c r="G45" s="190" t="str">
        <f>IF(ISBLANK('Allgemeine Angaben'!C55),"-",('Allgemeine Angaben'!D63))</f>
        <v/>
      </c>
      <c r="H45" s="679"/>
      <c r="I45" s="536" t="str">
        <f>IF('Schutzprüf-Checkliste'!Q32='Schutzprüf-Checkliste'!S32,"",IF('Schutzprüf-Checkliste'!Q32=TRUE,'Schutzprüf-Checkliste'!R32,'Schutzprüf-Checkliste'!T32))</f>
        <v/>
      </c>
    </row>
    <row r="46" spans="1:9" ht="12" customHeight="1">
      <c r="A46" s="943" t="s">
        <v>494</v>
      </c>
      <c r="B46" s="696"/>
      <c r="C46" s="395">
        <f>'Allgemeine Angaben'!C60</f>
        <v>2024</v>
      </c>
      <c r="D46" s="395"/>
      <c r="F46" s="941" t="s">
        <v>516</v>
      </c>
      <c r="G46" s="670"/>
      <c r="H46" s="670"/>
      <c r="I46" s="536" t="str">
        <f>IF(ISBLANK('Allgemeine Angaben'!C55),"-",(IF(ISBLANK('Schutzprüf-Checkliste'!D29),"-",( 'Schutzprüf-Checkliste'!D29 &amp; " A"))))</f>
        <v>-</v>
      </c>
    </row>
    <row r="47" spans="1:9" ht="12" customHeight="1">
      <c r="A47" s="417"/>
      <c r="B47" s="418"/>
      <c r="C47" s="382"/>
      <c r="D47" s="382"/>
      <c r="F47" s="583"/>
      <c r="G47" s="941" t="s">
        <v>517</v>
      </c>
      <c r="H47" s="670"/>
      <c r="I47" s="352" t="str">
        <f>IF('Schutzprüf-Checkliste'!I31=FALSE,"NEIN","JA")</f>
        <v>NEIN</v>
      </c>
    </row>
    <row r="48" spans="1:9" ht="12" customHeight="1">
      <c r="A48" s="933" t="s">
        <v>518</v>
      </c>
      <c r="B48" s="670"/>
      <c r="C48" s="670"/>
      <c r="D48" s="670"/>
      <c r="E48" s="670"/>
      <c r="F48" s="670"/>
      <c r="G48" s="670"/>
      <c r="H48" s="670"/>
      <c r="I48" s="671"/>
    </row>
    <row r="49" spans="1:9" ht="12" customHeight="1">
      <c r="A49" s="796" t="s">
        <v>209</v>
      </c>
      <c r="B49" s="670"/>
      <c r="C49" s="671"/>
      <c r="D49" s="796" t="s">
        <v>497</v>
      </c>
      <c r="E49" s="670"/>
      <c r="F49" s="671"/>
      <c r="G49" s="3" t="s">
        <v>498</v>
      </c>
      <c r="H49" s="3" t="s">
        <v>499</v>
      </c>
      <c r="I49" s="3" t="s">
        <v>500</v>
      </c>
    </row>
    <row r="50" spans="1:9" ht="12" customHeight="1">
      <c r="A50" s="894" t="s">
        <v>519</v>
      </c>
      <c r="B50" s="697"/>
      <c r="C50" s="138" t="s">
        <v>520</v>
      </c>
      <c r="D50" s="618" t="str">
        <f>IF(Bürdemessung!D3="","-",Bürdemessung!B3)</f>
        <v>-</v>
      </c>
      <c r="E50" s="807"/>
      <c r="F50" s="697"/>
      <c r="G50" s="620" t="str">
        <f>IF(Bürdemessung!D3="","-",Bürdemessung!E3)</f>
        <v>-</v>
      </c>
      <c r="H50" s="620" t="str">
        <f>IF(Bürdemessung!D4="","-",Bürdemessung!E4)</f>
        <v>-</v>
      </c>
      <c r="I50" s="619" t="str">
        <f>IF(Bürdemessung!D5="","-",Bürdemessung!E5)</f>
        <v>-</v>
      </c>
    </row>
    <row r="51" spans="1:9" ht="12" customHeight="1">
      <c r="A51" s="673"/>
      <c r="B51" s="686"/>
      <c r="C51" s="139" t="s">
        <v>521</v>
      </c>
      <c r="D51" s="621" t="str">
        <f>IF(Bürdemessung!D6="","-",Bürdemessung!B6)</f>
        <v>-</v>
      </c>
      <c r="E51" s="830"/>
      <c r="F51" s="686"/>
      <c r="G51" s="623" t="str">
        <f>IF(Bürdemessung!D6="","-",Bürdemessung!E6)</f>
        <v>-</v>
      </c>
      <c r="H51" s="623" t="str">
        <f>IF(Bürdemessung!D7="","-",Bürdemessung!E7)</f>
        <v>-</v>
      </c>
      <c r="I51" s="622" t="str">
        <f>IF(Bürdemessung!D8="","-",Bürdemessung!E8)</f>
        <v>-</v>
      </c>
    </row>
    <row r="52" spans="1:9" ht="12" customHeight="1">
      <c r="A52" s="673"/>
      <c r="B52" s="686"/>
      <c r="C52" s="139" t="s">
        <v>522</v>
      </c>
      <c r="D52" s="621" t="str">
        <f>IF(Bürdemessung!D9="","-",Bürdemessung!B9)</f>
        <v>-</v>
      </c>
      <c r="E52" s="830"/>
      <c r="F52" s="686"/>
      <c r="G52" s="626" t="str">
        <f>IF(Bürdemessung!D9="","-",Bürdemessung!E9)</f>
        <v>-</v>
      </c>
      <c r="H52" s="626" t="str">
        <f>IF(Bürdemessung!D10="","-",Bürdemessung!E10)</f>
        <v>-</v>
      </c>
      <c r="I52" s="625" t="str">
        <f>IF(Bürdemessung!D11="","-",Bürdemessung!E11)</f>
        <v>-</v>
      </c>
    </row>
    <row r="53" spans="1:9" ht="12" customHeight="1">
      <c r="A53" s="878" t="s">
        <v>397</v>
      </c>
      <c r="B53" s="679"/>
      <c r="C53" s="811" t="s">
        <v>505</v>
      </c>
      <c r="D53" s="670"/>
      <c r="E53" s="670"/>
      <c r="F53" s="670"/>
      <c r="G53" s="670"/>
      <c r="H53" s="670"/>
      <c r="I53" s="671"/>
    </row>
    <row r="54" spans="1:9" ht="12" customHeight="1">
      <c r="A54" s="933" t="s">
        <v>523</v>
      </c>
      <c r="B54" s="670"/>
      <c r="C54" s="670"/>
      <c r="D54" s="670"/>
      <c r="E54" s="670"/>
      <c r="F54" s="670"/>
      <c r="G54" s="670"/>
      <c r="H54" s="670"/>
      <c r="I54" s="671"/>
    </row>
    <row r="55" spans="1:9" ht="12" customHeight="1">
      <c r="A55" s="948" t="s">
        <v>524</v>
      </c>
      <c r="B55" s="696"/>
      <c r="C55" s="696"/>
      <c r="D55" s="924" t="str">
        <f>IF(ISBLANK('Allgemeine Angaben'!C55),"-",('Allgemeine Angaben'!C68))</f>
        <v>0 A</v>
      </c>
      <c r="E55" s="696"/>
      <c r="F55" s="931" t="s">
        <v>525</v>
      </c>
      <c r="G55" s="696"/>
      <c r="H55" s="940" t="e">
        <f>"Sekundärstrom: "&amp;IF('Schutzprüf-Checkliste'!D29/2&lt;61,('Schutzprüf-Checkliste'!D29/2)/'Schutzprüf-Checkliste'!D29&amp;" A", TEXT(50/'Schutzprüf-Checkliste'!D29, "0,##\ A"))</f>
        <v>#DIV/0!</v>
      </c>
      <c r="I55" s="697"/>
    </row>
    <row r="56" spans="1:9" ht="12" customHeight="1">
      <c r="A56" s="936" t="s">
        <v>397</v>
      </c>
      <c r="B56" s="773"/>
      <c r="C56" s="415"/>
      <c r="D56" s="955" t="s">
        <v>526</v>
      </c>
      <c r="E56" s="773"/>
      <c r="F56" s="773"/>
      <c r="G56" s="773"/>
      <c r="H56" s="773"/>
      <c r="I56" s="416" t="str">
        <f>IF(ISBLANK('Allgemeine Angaben'!C55),"-","JA")</f>
        <v>JA</v>
      </c>
    </row>
    <row r="57" spans="1:9" ht="12" customHeight="1">
      <c r="A57" s="944" t="s">
        <v>514</v>
      </c>
      <c r="B57" s="773"/>
      <c r="C57" s="773"/>
      <c r="D57" s="934" t="str">
        <f>IF(ISBLANK('Allgemeine Angaben'!C55),"-",('Allgemeine Angaben'!C69))</f>
        <v/>
      </c>
      <c r="E57" s="773"/>
      <c r="F57" s="773"/>
      <c r="G57" s="773"/>
      <c r="H57" s="773"/>
      <c r="I57" s="686"/>
    </row>
    <row r="58" spans="1:9" ht="24.75" customHeight="1">
      <c r="A58" s="915"/>
      <c r="B58" s="773"/>
      <c r="C58" s="926" t="str">
        <f>IF('Schutzprüf-Checkliste'!O34="FALSCH","-","Leistungsrichtung (Polarität) der einzelnen "&amp;(IF('Schutzprüf-Checkliste'!M33="FALSCH","",IF('Schutzprüf-Checkliste'!E105="x","Mess-",))&amp;(IF('Schutzprüf-Checkliste'!Q33="FALSCH","",IF('Schutzprüf-Checkliste'!E104="x","Schutz-",))&amp;"Wandler kontrolliert (0°,90°, 180°, 270°) -&gt; in Ordnung")))</f>
        <v>-</v>
      </c>
      <c r="D58" s="773"/>
      <c r="E58" s="773"/>
      <c r="F58" s="773"/>
      <c r="G58" s="773"/>
      <c r="H58" s="773"/>
      <c r="I58" s="686"/>
    </row>
    <row r="59" spans="1:9" ht="12.75">
      <c r="A59" s="673"/>
      <c r="B59" s="773"/>
      <c r="C59" s="926" t="str">
        <f>IF(('Schutzprüf-Checkliste'!I30=TRUE),"Im VZS wurden die Spannungswandler vor den Stromwandlern verbaut.","Im VZS wurden die Spannungswandler nach den Stromwandlern verbaut.")</f>
        <v>Im VZS wurden die Spannungswandler nach den Stromwandlern verbaut.</v>
      </c>
      <c r="D59" s="773"/>
      <c r="E59" s="773"/>
      <c r="F59" s="773"/>
      <c r="G59" s="773"/>
      <c r="H59" s="773"/>
      <c r="I59" s="686"/>
    </row>
    <row r="60" spans="1:9" ht="12.75">
      <c r="A60" s="674"/>
      <c r="B60" s="679"/>
      <c r="C60" s="799"/>
      <c r="D60" s="679"/>
      <c r="E60" s="679"/>
      <c r="F60" s="679"/>
      <c r="G60" s="679"/>
      <c r="H60" s="679"/>
      <c r="I60" s="680"/>
    </row>
    <row r="61" spans="1:9" ht="12.75">
      <c r="A61" s="933" t="s">
        <v>224</v>
      </c>
      <c r="B61" s="670"/>
      <c r="C61" s="670"/>
      <c r="D61" s="670"/>
      <c r="E61" s="670"/>
      <c r="F61" s="670"/>
      <c r="G61" s="670"/>
      <c r="H61" s="670"/>
      <c r="I61" s="671"/>
    </row>
    <row r="62" spans="1:9" ht="13.5" customHeight="1">
      <c r="A62" s="796" t="s">
        <v>272</v>
      </c>
      <c r="B62" s="671"/>
      <c r="C62" s="3" t="s">
        <v>286</v>
      </c>
      <c r="D62" s="215" t="s">
        <v>489</v>
      </c>
      <c r="E62" s="216"/>
      <c r="F62" s="3" t="s">
        <v>490</v>
      </c>
      <c r="G62" s="182" t="s">
        <v>278</v>
      </c>
      <c r="H62" s="180" t="s">
        <v>491</v>
      </c>
      <c r="I62" s="181" t="str">
        <f>IF('Allgemeine Angaben'!C72="x",'Schutzprüf-Checkliste'!D61&amp;" A","-")</f>
        <v>-</v>
      </c>
    </row>
    <row r="63" spans="1:9" ht="15" customHeight="1">
      <c r="A63" s="782" t="str">
        <f>IF(('Allgemeine Angaben'!$C$72=""),"-",IF(ISBLANK('Allgemeine Angaben'!C73),"-",('Allgemeine Angaben'!C73)))</f>
        <v>-</v>
      </c>
      <c r="B63" s="570" t="s">
        <v>54</v>
      </c>
      <c r="C63" s="570" t="str">
        <f>IF(('Allgemeine Angaben'!$C$72=""),"-",IF(ISBLANK('Allgemeine Angaben'!C74),"-",('Allgemeine Angaben'!C74)))</f>
        <v>-</v>
      </c>
      <c r="D63" s="537" t="str">
        <f>IF(('Allgemeine Angaben'!$C$72=""),"-",('Schutzprüf-Checkliste'!G41))</f>
        <v>-</v>
      </c>
      <c r="E63" s="535" t="str">
        <f>IF('Schutzprüf-Checkliste'!I41=TRUE,"K1",IF('Schutzprüf-Checkliste'!K41,"K1",""))</f>
        <v/>
      </c>
      <c r="F63" s="537" t="str">
        <f>IF('Allgemeine Angaben'!C72="","-",(IF('Allgemeine Angaben'!I76='Allgemeine Angaben'!K76,"",'Allgemeine Angaben'!D84)))</f>
        <v>-</v>
      </c>
      <c r="G63" s="190" t="str">
        <f>IF('Allgemeine Angaben'!C72="","-",(IF('Allgemeine Angaben'!I76='Allgemeine Angaben'!K76,"",(IF('Allgemeine Angaben'!I76=TRUE,'Allgemeine Angaben'!D79,'Allgemeine Angaben'!D80)))))</f>
        <v>-</v>
      </c>
      <c r="H63" s="832"/>
      <c r="I63" s="536" t="str">
        <f>IF('Schutzprüf-Checkliste'!I41='Schutzprüf-Checkliste'!K41,"-",IF('Schutzprüf-Checkliste'!I41=TRUE,'Schutzprüf-Checkliste'!J41,'Schutzprüf-Checkliste'!L41))</f>
        <v>-</v>
      </c>
    </row>
    <row r="64" spans="1:9" ht="15" customHeight="1">
      <c r="A64" s="673"/>
      <c r="B64" s="570" t="s">
        <v>55</v>
      </c>
      <c r="C64" s="570" t="str">
        <f>IF(('Allgemeine Angaben'!$C$72=""),"-",IF(ISBLANK('Allgemeine Angaben'!C75),"-",('Allgemeine Angaben'!C75)))</f>
        <v>-</v>
      </c>
      <c r="D64" s="537" t="str">
        <f>IF(('Allgemeine Angaben'!$C$72=""),"-",('Schutzprüf-Checkliste'!G42))</f>
        <v>-</v>
      </c>
      <c r="E64" s="554" t="str">
        <f>IF('Schutzprüf-Checkliste'!M41=TRUE,"K2",IF('Schutzprüf-Checkliste'!O41,"K2",""))</f>
        <v/>
      </c>
      <c r="F64" s="518" t="str">
        <f>IF('Allgemeine Angaben'!C72="","-",(IF('Allgemeine Angaben'!M76='Allgemeine Angaben'!O76,"",'Allgemeine Angaben'!D85)))</f>
        <v>-</v>
      </c>
      <c r="G64" s="198" t="str">
        <f>IF('Allgemeine Angaben'!C72="","-",(IF('Allgemeine Angaben'!M76='Allgemeine Angaben'!O76,"",(IF('Allgemeine Angaben'!M76=TRUE,'Allgemeine Angaben'!D81,'Allgemeine Angaben'!D82)))))</f>
        <v>-</v>
      </c>
      <c r="H64" s="773"/>
      <c r="I64" s="556" t="str">
        <f>IF('Schutzprüf-Checkliste'!M41='Schutzprüf-Checkliste'!O41,"-",IF('Schutzprüf-Checkliste'!M41=TRUE,'Schutzprüf-Checkliste'!N41,'Schutzprüf-Checkliste'!P41))</f>
        <v>-</v>
      </c>
    </row>
    <row r="65" spans="1:9" ht="15" customHeight="1">
      <c r="A65" s="674"/>
      <c r="B65" s="570" t="s">
        <v>56</v>
      </c>
      <c r="C65" s="570" t="str">
        <f>IF(('Allgemeine Angaben'!$C$72=""),"-",IF(ISBLANK('Allgemeine Angaben'!C76),"-",('Allgemeine Angaben'!C76)))</f>
        <v>-</v>
      </c>
      <c r="D65" s="537" t="str">
        <f>IF(('Allgemeine Angaben'!$C$72=""),"-",('Schutzprüf-Checkliste'!G43))</f>
        <v>-</v>
      </c>
      <c r="E65" s="553"/>
      <c r="F65" s="521"/>
      <c r="G65" s="199"/>
      <c r="H65" s="679"/>
      <c r="I65" s="559"/>
    </row>
    <row r="66" spans="1:9" ht="12" customHeight="1">
      <c r="A66" s="943" t="s">
        <v>494</v>
      </c>
      <c r="B66" s="696"/>
      <c r="C66" s="395" t="str">
        <f>IF(('Allgemeine Angaben'!$C$72=""),"-",'Allgemeine Angaben'!C77)</f>
        <v>-</v>
      </c>
      <c r="D66" s="395"/>
      <c r="F66" s="403"/>
      <c r="G66" s="935" t="s">
        <v>517</v>
      </c>
      <c r="H66" s="696"/>
      <c r="I66" s="352" t="str">
        <f>IF('Schutzprüf-Checkliste'!I44=FALSE,"NEIN","JA")</f>
        <v>NEIN</v>
      </c>
    </row>
    <row r="67" spans="1:9" ht="12" customHeight="1">
      <c r="A67" s="933" t="s">
        <v>527</v>
      </c>
      <c r="B67" s="670"/>
      <c r="C67" s="670"/>
      <c r="D67" s="670"/>
      <c r="E67" s="670"/>
      <c r="F67" s="670"/>
      <c r="G67" s="670"/>
      <c r="H67" s="670"/>
      <c r="I67" s="671"/>
    </row>
    <row r="68" spans="1:9" ht="12" customHeight="1">
      <c r="A68" s="796" t="s">
        <v>209</v>
      </c>
      <c r="B68" s="670"/>
      <c r="C68" s="671"/>
      <c r="D68" s="796" t="s">
        <v>497</v>
      </c>
      <c r="E68" s="670"/>
      <c r="F68" s="671"/>
      <c r="G68" s="3" t="s">
        <v>498</v>
      </c>
      <c r="H68" s="3" t="s">
        <v>499</v>
      </c>
      <c r="I68" s="3" t="s">
        <v>500</v>
      </c>
    </row>
    <row r="69" spans="1:9" ht="12" customHeight="1">
      <c r="A69" s="942" t="s">
        <v>208</v>
      </c>
      <c r="B69" s="686"/>
      <c r="C69" s="139" t="s">
        <v>521</v>
      </c>
      <c r="D69" s="621" t="str">
        <f>IF(Bürdemessung!D15="","-",Bürdemessung!B15)</f>
        <v>-</v>
      </c>
      <c r="E69" s="830"/>
      <c r="F69" s="686"/>
      <c r="G69" s="623" t="str">
        <f>IF(Bürdemessung!D15="","-",Bürdemessung!E15)</f>
        <v>-</v>
      </c>
      <c r="H69" s="623" t="str">
        <f>IF(Bürdemessung!D16="","-",Bürdemessung!E16)</f>
        <v>-</v>
      </c>
      <c r="I69" s="622" t="str">
        <f>IF(Bürdemessung!D17="","-",Bürdemessung!E17)</f>
        <v>-</v>
      </c>
    </row>
    <row r="70" spans="1:9" ht="12" customHeight="1">
      <c r="A70" s="673"/>
      <c r="B70" s="686"/>
      <c r="C70" s="139" t="s">
        <v>522</v>
      </c>
      <c r="D70" s="621" t="str">
        <f>IF(Bürdemessung!D18="","-",Bürdemessung!B19)</f>
        <v>-</v>
      </c>
      <c r="E70" s="830"/>
      <c r="F70" s="686"/>
      <c r="G70" s="626" t="str">
        <f>IF(Bürdemessung!D18="","-",Bürdemessung!E18)</f>
        <v>-</v>
      </c>
      <c r="H70" s="626" t="str">
        <f>IF(Bürdemessung!D19="","-",Bürdemessung!E19)</f>
        <v>-</v>
      </c>
      <c r="I70" s="625" t="str">
        <f>IF(Bürdemessung!D20="","-",Bürdemessung!E20)</f>
        <v>-</v>
      </c>
    </row>
    <row r="71" spans="1:9" ht="12" customHeight="1">
      <c r="A71" s="933" t="s">
        <v>528</v>
      </c>
      <c r="B71" s="670"/>
      <c r="C71" s="670"/>
      <c r="D71" s="670"/>
      <c r="E71" s="670"/>
      <c r="F71" s="670"/>
      <c r="G71" s="670"/>
      <c r="H71" s="670"/>
      <c r="I71" s="671"/>
    </row>
    <row r="72" spans="1:9" ht="12" customHeight="1">
      <c r="A72" s="866" t="s">
        <v>524</v>
      </c>
      <c r="B72" s="696"/>
      <c r="C72" s="696"/>
      <c r="D72" s="924" t="str">
        <f>IF(('Allgemeine Angaben'!$C$72=""),"-",IF(ISBLANK('Allgemeine Angaben'!C87),"-",('Allgemeine Angaben'!C87)))</f>
        <v>-</v>
      </c>
      <c r="E72" s="696"/>
      <c r="F72" s="931" t="s">
        <v>525</v>
      </c>
      <c r="G72" s="696"/>
      <c r="H72" s="932" t="str">
        <f>IF(('Allgemeine Angaben'!$C$72=""),"-",IF(ISBLANK('Allgemeine Angaben'!C87),"-","Sekundärstrom: "&amp;IF('Allgemeine Angaben'!C77/2&lt;61,('Schutzprüf-Checkliste'!D61/2)/'Schutzprüf-Checkliste'!D61&amp;" A",TEXT(50/'Allgemeine Angaben'!C78,"0,##\ A"))))</f>
        <v>-</v>
      </c>
      <c r="I72" s="697"/>
    </row>
    <row r="73" spans="1:9" ht="12" customHeight="1">
      <c r="A73" s="936" t="s">
        <v>397</v>
      </c>
      <c r="B73" s="773"/>
      <c r="C73" s="415"/>
      <c r="D73" s="925" t="s">
        <v>529</v>
      </c>
      <c r="E73" s="773"/>
      <c r="F73" s="773"/>
      <c r="G73" s="773"/>
      <c r="H73" s="773"/>
      <c r="I73" s="533" t="str">
        <f>IF(('Allgemeine Angaben'!$C$72=""),"-",IF(ISBLANK('Allgemeine Angaben'!C73),"-","x"))</f>
        <v>-</v>
      </c>
    </row>
    <row r="74" spans="1:9" ht="12" customHeight="1">
      <c r="A74" s="916" t="s">
        <v>514</v>
      </c>
      <c r="B74" s="793"/>
      <c r="C74" s="793"/>
      <c r="D74" s="851" t="str">
        <f>IF(('Allgemeine Angaben'!$C$72=""),"-",IF(ISBLANK('Allgemeine Angaben'!C73),"-",IF('Schutzprüf-Checkliste'!E107="x","Schutzrelais -&gt; in Ordnung","")))</f>
        <v>-</v>
      </c>
      <c r="E74" s="795"/>
      <c r="F74" s="795"/>
      <c r="G74" s="795"/>
      <c r="H74" s="795"/>
      <c r="I74" s="852"/>
    </row>
    <row r="75" spans="1:9" ht="22.5" customHeight="1">
      <c r="A75" s="936" t="s">
        <v>397</v>
      </c>
      <c r="B75" s="773"/>
      <c r="C75" s="849" t="str">
        <f>IF('Allgemeine Angaben'!I76=FALSE,"-",IF('Schutzprüf-Checkliste'!E109="x","Leistungsrichtung (Polarität) der einzelnen "&amp;(IF('Allgemeine Angaben'!I76="FALSCH","",IF('Schutzprüf-Checkliste'!E109="x","Schutz-",))&amp;"Wandler kontrolliert (0°,90°, 180°, 270°) -&gt; in Ordnung"),""))</f>
        <v>-</v>
      </c>
      <c r="D75" s="778"/>
      <c r="E75" s="778"/>
      <c r="F75" s="778"/>
      <c r="G75" s="778"/>
      <c r="H75" s="778"/>
      <c r="I75" s="850"/>
    </row>
    <row r="76" spans="1:9" ht="12.75">
      <c r="A76" s="581"/>
      <c r="B76" s="582"/>
      <c r="C76" s="926" t="str">
        <f>IF(('Schutzprüf-Checkliste'!I39=TRUE),"Im VZS wurden die Spannungswandler vor den Stromwandlern verbaut.","Im VZS wurden die Spannungswandler nach den Stromwandlern verbaut.")</f>
        <v>Im VZS wurden die Spannungswandler nach den Stromwandlern verbaut.</v>
      </c>
      <c r="D76" s="773"/>
      <c r="E76" s="773"/>
      <c r="F76" s="773"/>
      <c r="G76" s="773"/>
      <c r="H76" s="773"/>
      <c r="I76" s="686"/>
    </row>
    <row r="77" spans="1:9" ht="12.75">
      <c r="A77" s="581"/>
      <c r="B77" s="582"/>
      <c r="C77" s="799"/>
      <c r="D77" s="679"/>
      <c r="E77" s="679"/>
      <c r="F77" s="679"/>
      <c r="G77" s="679"/>
      <c r="H77" s="679"/>
      <c r="I77" s="680"/>
    </row>
    <row r="78" spans="1:9" ht="12.75" customHeight="1">
      <c r="A78" s="800" t="s">
        <v>530</v>
      </c>
      <c r="B78" s="670"/>
      <c r="C78" s="670"/>
      <c r="D78" s="670"/>
      <c r="E78" s="670"/>
      <c r="F78" s="670"/>
      <c r="G78" s="670"/>
      <c r="H78" s="670"/>
      <c r="I78" s="671"/>
    </row>
    <row r="79" spans="1:9">
      <c r="A79" s="413"/>
      <c r="B79" s="409"/>
      <c r="C79" s="409"/>
      <c r="D79" s="409"/>
      <c r="E79" s="409"/>
      <c r="F79" s="409"/>
      <c r="G79" s="410"/>
      <c r="H79" s="927" t="str">
        <f>IF('Allgemeine Angaben'!C7="Gunnar Schäfer",'Allgemeine Angaben'!D7,'Allgemeine Angaben'!E7)</f>
        <v>Bild</v>
      </c>
      <c r="I79" s="686"/>
    </row>
    <row r="80" spans="1:9" ht="12.75">
      <c r="A80" s="928" t="s">
        <v>486</v>
      </c>
      <c r="B80" s="852"/>
      <c r="C80" s="923" t="str">
        <f>IF('Allgemeine Angaben'!C8="x", "Prüfort","")</f>
        <v>Prüfort</v>
      </c>
      <c r="D80" s="793"/>
      <c r="E80" s="793"/>
      <c r="F80" s="828"/>
      <c r="G80" s="579" t="s">
        <v>487</v>
      </c>
      <c r="H80" s="673"/>
      <c r="I80" s="686"/>
    </row>
    <row r="81" spans="1:9" ht="12.75">
      <c r="A81" s="438" t="str">
        <f>'Allgemeine Angaben'!C7</f>
        <v>Kevin Koehn</v>
      </c>
      <c r="C81" s="930">
        <f>IF('Allgemeine Angaben'!C8="x", 'Schutzprüf-Checkliste'!B4,"")</f>
        <v>0</v>
      </c>
      <c r="D81" s="773"/>
      <c r="E81" s="773"/>
      <c r="F81" s="686"/>
      <c r="G81" s="414">
        <f>H8</f>
        <v>46163</v>
      </c>
      <c r="H81" s="673"/>
      <c r="I81" s="686"/>
    </row>
    <row r="82" spans="1:9" ht="12.75">
      <c r="A82" s="929"/>
      <c r="B82" s="679"/>
      <c r="C82" s="679"/>
      <c r="D82" s="679"/>
      <c r="E82" s="679"/>
      <c r="F82" s="679"/>
      <c r="G82" s="680"/>
      <c r="H82" s="674"/>
      <c r="I82" s="680"/>
    </row>
    <row r="88" spans="1:9" hidden="1"/>
    <row r="89" spans="1:9" hidden="1"/>
    <row r="110" hidden="1"/>
    <row r="113" hidden="1"/>
    <row r="114" hidden="1"/>
    <row r="115" hidden="1"/>
    <row r="116" hidden="1"/>
    <row r="128" hidden="1"/>
    <row r="129" hidden="1"/>
    <row r="136" hidden="1"/>
    <row r="137" hidden="1"/>
    <row r="140" hidden="1"/>
    <row r="141" hidden="1"/>
    <row r="150" hidden="1"/>
    <row r="153" hidden="1"/>
    <row r="154" hidden="1"/>
    <row r="158" hidden="1"/>
    <row r="161" hidden="1"/>
    <row r="162" hidden="1"/>
  </sheetData>
  <mergeCells count="122">
    <mergeCell ref="H7:I7"/>
    <mergeCell ref="H43:H45"/>
    <mergeCell ref="F12:I12"/>
    <mergeCell ref="D26:F26"/>
    <mergeCell ref="A31:I31"/>
    <mergeCell ref="A39:C39"/>
    <mergeCell ref="D56:H56"/>
    <mergeCell ref="A20:B20"/>
    <mergeCell ref="G47:H47"/>
    <mergeCell ref="H33:I33"/>
    <mergeCell ref="H8:I8"/>
    <mergeCell ref="D49:F49"/>
    <mergeCell ref="A54:I54"/>
    <mergeCell ref="F14:G14"/>
    <mergeCell ref="A25:I25"/>
    <mergeCell ref="A24:B24"/>
    <mergeCell ref="C8:E8"/>
    <mergeCell ref="A12:E12"/>
    <mergeCell ref="A10:I10"/>
    <mergeCell ref="F9:G9"/>
    <mergeCell ref="F17:G17"/>
    <mergeCell ref="H17:I17"/>
    <mergeCell ref="H9:I9"/>
    <mergeCell ref="A26:C26"/>
    <mergeCell ref="A30:B30"/>
    <mergeCell ref="D27:F27"/>
    <mergeCell ref="D34:E34"/>
    <mergeCell ref="F34:G34"/>
    <mergeCell ref="A55:C55"/>
    <mergeCell ref="H34:I34"/>
    <mergeCell ref="D28:F28"/>
    <mergeCell ref="A32:C32"/>
    <mergeCell ref="D32:E32"/>
    <mergeCell ref="F33:G33"/>
    <mergeCell ref="A46:B46"/>
    <mergeCell ref="H36:I36"/>
    <mergeCell ref="C40:I40"/>
    <mergeCell ref="D33:E33"/>
    <mergeCell ref="A38:B38"/>
    <mergeCell ref="D36:E36"/>
    <mergeCell ref="E51:F51"/>
    <mergeCell ref="A1:I1"/>
    <mergeCell ref="H14:I14"/>
    <mergeCell ref="A58:B60"/>
    <mergeCell ref="A78:I78"/>
    <mergeCell ref="F24:H24"/>
    <mergeCell ref="E50:F50"/>
    <mergeCell ref="C9:E9"/>
    <mergeCell ref="A13:E17"/>
    <mergeCell ref="A3:I3"/>
    <mergeCell ref="E52:F52"/>
    <mergeCell ref="A63:A65"/>
    <mergeCell ref="F7:G7"/>
    <mergeCell ref="A75:B75"/>
    <mergeCell ref="F36:G36"/>
    <mergeCell ref="E69:F69"/>
    <mergeCell ref="G29:I29"/>
    <mergeCell ref="A72:C72"/>
    <mergeCell ref="F8:G8"/>
    <mergeCell ref="H16:I16"/>
    <mergeCell ref="H15:I15"/>
    <mergeCell ref="A61:I61"/>
    <mergeCell ref="C60:I60"/>
    <mergeCell ref="A74:C74"/>
    <mergeCell ref="A18:I18"/>
    <mergeCell ref="A73:B73"/>
    <mergeCell ref="C59:I59"/>
    <mergeCell ref="F55:G55"/>
    <mergeCell ref="F46:H46"/>
    <mergeCell ref="A69:B70"/>
    <mergeCell ref="A67:I67"/>
    <mergeCell ref="E70:F70"/>
    <mergeCell ref="A66:B66"/>
    <mergeCell ref="A57:C57"/>
    <mergeCell ref="A2:I2"/>
    <mergeCell ref="A43:A45"/>
    <mergeCell ref="F15:G15"/>
    <mergeCell ref="G66:H66"/>
    <mergeCell ref="C30:I30"/>
    <mergeCell ref="C7:E7"/>
    <mergeCell ref="A56:B56"/>
    <mergeCell ref="C38:H38"/>
    <mergeCell ref="A19:I19"/>
    <mergeCell ref="D29:F29"/>
    <mergeCell ref="A42:B42"/>
    <mergeCell ref="A27:B29"/>
    <mergeCell ref="F13:G13"/>
    <mergeCell ref="H13:I13"/>
    <mergeCell ref="A48:I48"/>
    <mergeCell ref="A53:B53"/>
    <mergeCell ref="A62:B62"/>
    <mergeCell ref="A49:C49"/>
    <mergeCell ref="A11:I11"/>
    <mergeCell ref="D57:I57"/>
    <mergeCell ref="A21:A23"/>
    <mergeCell ref="H35:I35"/>
    <mergeCell ref="A41:I41"/>
    <mergeCell ref="H55:I55"/>
    <mergeCell ref="C80:F80"/>
    <mergeCell ref="D55:E55"/>
    <mergeCell ref="D73:H73"/>
    <mergeCell ref="C76:I76"/>
    <mergeCell ref="H79:I82"/>
    <mergeCell ref="D35:E35"/>
    <mergeCell ref="A80:B80"/>
    <mergeCell ref="A82:G82"/>
    <mergeCell ref="C81:F81"/>
    <mergeCell ref="D72:E72"/>
    <mergeCell ref="F72:G72"/>
    <mergeCell ref="H72:I72"/>
    <mergeCell ref="A71:I71"/>
    <mergeCell ref="A50:B52"/>
    <mergeCell ref="D39:I39"/>
    <mergeCell ref="F35:G35"/>
    <mergeCell ref="A68:C68"/>
    <mergeCell ref="C77:I77"/>
    <mergeCell ref="C75:I75"/>
    <mergeCell ref="D74:I74"/>
    <mergeCell ref="D68:F68"/>
    <mergeCell ref="C58:I58"/>
    <mergeCell ref="H63:H65"/>
    <mergeCell ref="C53:I53"/>
  </mergeCells>
  <pageMargins left="0.78740157499999996" right="0.78740157499999996" top="0.984251969" bottom="0.984251969" header="0.4921259845" footer="0.4921259845"/>
  <pageSetup paperSize="9" orientation="portrait"/>
  <headerFooter alignWithMargins="0">
    <oddFooter>&amp;L&amp;D&amp;RSeite &amp;P von &amp;N</oddFooter>
  </headerFooter>
  <rowBreaks count="1" manualBreakCount="1">
    <brk id="53" max="16383" man="1"/>
  </rowBreaks>
  <colBreaks count="1" manualBreakCount="1">
    <brk id="9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1"/>
  <dimension ref="A1:J59"/>
  <sheetViews>
    <sheetView zoomScale="145" zoomScaleNormal="145" zoomScalePageLayoutView="130" workbookViewId="0">
      <selection activeCell="K45" sqref="K45"/>
    </sheetView>
  </sheetViews>
  <sheetFormatPr baseColWidth="10" defaultRowHeight="12"/>
  <cols>
    <col min="1" max="1" width="13.5703125" style="437" customWidth="1"/>
    <col min="2" max="2" width="15" style="437" customWidth="1"/>
    <col min="3" max="3" width="11.7109375" style="437" customWidth="1"/>
    <col min="4" max="4" width="2" style="437" customWidth="1"/>
    <col min="5" max="5" width="8.42578125" style="437" customWidth="1"/>
    <col min="6" max="6" width="12.28515625" style="437" customWidth="1"/>
    <col min="7" max="7" width="8" style="437" customWidth="1"/>
    <col min="8" max="8" width="5.5703125" style="437" bestFit="1" customWidth="1"/>
    <col min="9" max="9" width="10.5703125" style="437" bestFit="1" customWidth="1"/>
    <col min="10" max="10" width="11.42578125" style="437" hidden="1" customWidth="1"/>
    <col min="11" max="11" width="11.5703125" style="437" customWidth="1"/>
    <col min="12" max="13" width="11.42578125" style="437" customWidth="1"/>
    <col min="14" max="16384" width="11.42578125" style="437"/>
  </cols>
  <sheetData>
    <row r="1" spans="1:9" ht="13.5" customHeight="1">
      <c r="A1" s="992" t="s">
        <v>367</v>
      </c>
      <c r="B1" s="670"/>
      <c r="C1" s="670"/>
      <c r="D1" s="670"/>
      <c r="E1" s="670"/>
      <c r="F1" s="670"/>
      <c r="G1" s="670"/>
      <c r="H1" s="670"/>
      <c r="I1" s="671"/>
    </row>
    <row r="2" spans="1:9" ht="11.25" customHeight="1">
      <c r="A2" s="1000" t="s">
        <v>531</v>
      </c>
      <c r="B2" s="670"/>
      <c r="C2" s="670"/>
      <c r="D2" s="670"/>
      <c r="E2" s="670"/>
      <c r="F2" s="670"/>
      <c r="G2" s="670"/>
      <c r="H2" s="670"/>
      <c r="I2" s="671"/>
    </row>
    <row r="3" spans="1:9" ht="12.75" customHeight="1">
      <c r="A3" s="971" t="s">
        <v>369</v>
      </c>
      <c r="B3" s="670"/>
      <c r="C3" s="670"/>
      <c r="D3" s="670"/>
      <c r="E3" s="670"/>
      <c r="F3" s="670"/>
      <c r="G3" s="670"/>
      <c r="H3" s="670"/>
      <c r="I3" s="671"/>
    </row>
    <row r="4" spans="1:9" ht="17.25" customHeight="1">
      <c r="A4" s="232"/>
      <c r="B4" s="233" t="s">
        <v>370</v>
      </c>
      <c r="C4" s="234"/>
      <c r="D4" s="235"/>
      <c r="E4" s="236"/>
      <c r="F4" s="11"/>
      <c r="G4" s="237"/>
      <c r="H4" s="237"/>
      <c r="I4" s="238"/>
    </row>
    <row r="5" spans="1:9" ht="12.75" customHeight="1">
      <c r="A5" s="239"/>
      <c r="B5" s="233" t="s">
        <v>371</v>
      </c>
      <c r="C5" s="234"/>
      <c r="D5" s="235"/>
      <c r="E5" s="236"/>
      <c r="F5" s="11"/>
      <c r="G5" s="235"/>
      <c r="H5" s="235"/>
      <c r="I5" s="238"/>
    </row>
    <row r="6" spans="1:9" ht="19.5" customHeight="1">
      <c r="A6" s="240"/>
      <c r="B6" s="467" t="s">
        <v>372</v>
      </c>
      <c r="C6" s="468"/>
      <c r="D6" s="469"/>
      <c r="E6" s="237"/>
      <c r="F6" s="237"/>
      <c r="G6" s="235"/>
      <c r="H6" s="235"/>
      <c r="I6" s="238"/>
    </row>
    <row r="7" spans="1:9" ht="12.75" customHeight="1">
      <c r="A7" s="466" t="s">
        <v>373</v>
      </c>
      <c r="B7" s="864" t="str">
        <f>IF('Allgemeine Angaben'!C7= "Kevin Koehn", 'Allgemeine Angaben'!U7,'Allgemeine Angaben'!H7)</f>
        <v xml:space="preserve">k.koehn@ges-energietechnik.com </v>
      </c>
      <c r="C7" s="960"/>
      <c r="D7" s="960"/>
      <c r="E7" s="996" t="str">
        <f>IF('Allgemeine Angaben'!C8="x", IF(('Allgemeine Angaben'!C137=0),"","Ort der Prüfung:"),"")</f>
        <v/>
      </c>
      <c r="F7" s="778"/>
      <c r="G7" s="859" t="str">
        <f>IF('Allgemeine Angaben'!C8="x",IF(('Allgemeine Angaben'!C137=0),"",'Allgemeine Angaben'!C137),"")</f>
        <v/>
      </c>
      <c r="H7" s="778"/>
      <c r="I7" s="850"/>
    </row>
    <row r="8" spans="1:9" ht="12.75">
      <c r="A8" s="241" t="s">
        <v>374</v>
      </c>
      <c r="B8" s="918" t="str">
        <f>IF('Allgemeine Angaben'!C7= "Kevin Koehn", 'Allgemeine Angaben'!G7,'Allgemeine Angaben'!F7)</f>
        <v>+49 1515 8452716</v>
      </c>
      <c r="C8" s="960"/>
      <c r="D8" s="960"/>
      <c r="E8" s="974" t="s">
        <v>363</v>
      </c>
      <c r="F8" s="960"/>
      <c r="G8" s="841">
        <f>'Schutzprüf-Checkliste'!B7</f>
        <v>46163</v>
      </c>
      <c r="H8" s="960"/>
      <c r="I8" s="686"/>
    </row>
    <row r="9" spans="1:9" ht="12.75">
      <c r="A9" s="74" t="s">
        <v>375</v>
      </c>
      <c r="B9" s="855" t="str">
        <f>'Schutzprüf-Checkliste'!B6</f>
        <v>bitte wählen!</v>
      </c>
      <c r="C9" s="960"/>
      <c r="D9" s="960"/>
      <c r="E9" s="999" t="s">
        <v>364</v>
      </c>
      <c r="F9" s="960"/>
      <c r="G9" s="959">
        <f>'Allgemeine Angaben'!C139</f>
        <v>47623</v>
      </c>
      <c r="H9" s="960"/>
      <c r="I9" s="686"/>
    </row>
    <row r="10" spans="1:9" ht="2.25" customHeight="1">
      <c r="A10" s="981"/>
      <c r="B10" s="679"/>
      <c r="C10" s="679"/>
      <c r="D10" s="679"/>
      <c r="E10" s="679"/>
      <c r="F10" s="679"/>
      <c r="G10" s="679"/>
      <c r="H10" s="679"/>
      <c r="I10" s="680"/>
    </row>
    <row r="11" spans="1:9" ht="12.75" customHeight="1">
      <c r="A11" s="971" t="s">
        <v>377</v>
      </c>
      <c r="B11" s="670"/>
      <c r="C11" s="670"/>
      <c r="D11" s="670"/>
      <c r="E11" s="670"/>
      <c r="F11" s="670"/>
      <c r="G11" s="670"/>
      <c r="H11" s="670"/>
      <c r="I11" s="671"/>
    </row>
    <row r="12" spans="1:9" ht="12.75">
      <c r="A12" s="972" t="s">
        <v>378</v>
      </c>
      <c r="B12" s="670"/>
      <c r="C12" s="670"/>
      <c r="D12" s="671"/>
      <c r="E12" s="972" t="s">
        <v>379</v>
      </c>
      <c r="F12" s="670"/>
      <c r="G12" s="670"/>
      <c r="H12" s="670"/>
      <c r="I12" s="671"/>
    </row>
    <row r="13" spans="1:9" ht="12" customHeight="1">
      <c r="A13" s="998" t="str">
        <f>'Allgemeine Angaben'!C2</f>
        <v>Faber E-Tec GmbH
Bachstraße 21
D-32257 Bünde</v>
      </c>
      <c r="B13" s="696"/>
      <c r="C13" s="696"/>
      <c r="D13" s="697"/>
      <c r="E13" s="860" t="s">
        <v>238</v>
      </c>
      <c r="F13" s="960"/>
      <c r="G13" s="967">
        <f>'Allgemeine Angaben'!C3</f>
        <v>0</v>
      </c>
      <c r="H13" s="960"/>
      <c r="I13" s="686"/>
    </row>
    <row r="14" spans="1:9" ht="12.75">
      <c r="A14" s="673"/>
      <c r="B14" s="960"/>
      <c r="C14" s="960"/>
      <c r="D14" s="686"/>
      <c r="E14" s="860" t="s">
        <v>380</v>
      </c>
      <c r="F14" s="960"/>
      <c r="G14" s="967" t="str">
        <f>'Allgemeine Angaben'!C141</f>
        <v>NSHV; ?</v>
      </c>
      <c r="H14" s="960"/>
      <c r="I14" s="686"/>
    </row>
    <row r="15" spans="1:9" ht="12.75">
      <c r="A15" s="673"/>
      <c r="B15" s="960"/>
      <c r="C15" s="960"/>
      <c r="D15" s="686"/>
      <c r="E15" s="982" t="s">
        <v>358</v>
      </c>
      <c r="F15" s="960"/>
      <c r="G15" s="967" t="str">
        <f>IF(ISBLANK('Allgemeine Angaben'!D133),'Allgemeine Angaben'!C133," ")</f>
        <v/>
      </c>
      <c r="H15" s="960"/>
      <c r="I15" s="686"/>
    </row>
    <row r="16" spans="1:9" ht="12.75">
      <c r="A16" s="673"/>
      <c r="B16" s="960"/>
      <c r="C16" s="960"/>
      <c r="D16" s="686"/>
      <c r="E16" s="982" t="s">
        <v>359</v>
      </c>
      <c r="F16" s="960"/>
      <c r="G16" s="967" t="str">
        <f>IF(ISBLANK('Schutzprüf-Checkliste'!C20),"",'Schutzprüf-Checkliste'!C20)</f>
        <v/>
      </c>
      <c r="H16" s="960"/>
      <c r="I16" s="686"/>
    </row>
    <row r="17" spans="1:9" ht="12.75">
      <c r="A17" s="673"/>
      <c r="B17" s="960"/>
      <c r="C17" s="960"/>
      <c r="D17" s="686"/>
      <c r="E17" s="860" t="s">
        <v>360</v>
      </c>
      <c r="F17" s="960"/>
      <c r="G17" s="993" t="str">
        <f>'Schutzprüf-Checkliste'!B19</f>
        <v>UFR1001E / Ziehl</v>
      </c>
      <c r="H17" s="960"/>
      <c r="I17" s="686"/>
    </row>
    <row r="18" spans="1:9" ht="12" customHeight="1">
      <c r="A18" s="674"/>
      <c r="B18" s="679"/>
      <c r="C18" s="679"/>
      <c r="D18" s="680"/>
      <c r="E18" s="860" t="s">
        <v>361</v>
      </c>
      <c r="F18" s="960"/>
      <c r="G18" s="967" t="str">
        <f>IF(ISBLANK('Schutzprüf-Checkliste'!B22)," ",'Schutzprüf-Checkliste'!B22)</f>
        <v xml:space="preserve"> </v>
      </c>
      <c r="H18" s="960"/>
      <c r="I18" s="686"/>
    </row>
    <row r="19" spans="1:9" ht="12" customHeight="1">
      <c r="A19" s="997" t="s">
        <v>532</v>
      </c>
      <c r="B19" s="696"/>
      <c r="C19" s="359" t="s">
        <v>533</v>
      </c>
      <c r="D19" s="360"/>
      <c r="E19" s="860" t="s">
        <v>534</v>
      </c>
      <c r="F19" s="960"/>
      <c r="G19" s="973" t="str">
        <f>IF(ISBLANK('Schutzprüf-Checkliste'!B23),"",'Schutzprüf-Checkliste'!B23)</f>
        <v/>
      </c>
      <c r="H19" s="960"/>
      <c r="I19" s="686"/>
    </row>
    <row r="20" spans="1:9" ht="12.75">
      <c r="A20" s="356" t="s">
        <v>346</v>
      </c>
      <c r="B20" s="357" t="e">
        <f>IF(ISBLANK('Schutzprüf-Checkliste'!C25),'Daten EZE'!M8,('Daten EZE'!O8))</f>
        <v>#REF!</v>
      </c>
      <c r="C20" s="358">
        <v>1.1000000000000001</v>
      </c>
      <c r="D20" s="355"/>
      <c r="E20" s="980" t="s">
        <v>239</v>
      </c>
      <c r="F20" s="960"/>
      <c r="G20" s="993" t="str">
        <f>'Allgemeine Angaben'!C4</f>
        <v>24 VDC</v>
      </c>
      <c r="H20" s="960"/>
      <c r="I20" s="686"/>
    </row>
    <row r="21" spans="1:9" ht="12.75">
      <c r="A21" s="356" t="s">
        <v>304</v>
      </c>
      <c r="B21" s="357" t="e">
        <f>IF(ISBLANK('Schutzprüf-Checkliste'!C25),'Daten EZE'!M19,('Daten EZE'!O19))</f>
        <v>#REF!</v>
      </c>
      <c r="C21" s="358">
        <v>0.95</v>
      </c>
      <c r="D21" s="425"/>
      <c r="E21" s="242" t="s">
        <v>376</v>
      </c>
      <c r="F21" s="243"/>
      <c r="G21" s="961" t="str">
        <f>'Allgemeine Angaben'!C6</f>
        <v>2026.5.07.05</v>
      </c>
      <c r="H21" s="784"/>
      <c r="I21" s="785"/>
    </row>
    <row r="22" spans="1:9" ht="12.75">
      <c r="A22" s="991" t="str">
        <f>"f&lt; = "&amp;'Daten EZE'!M26&amp;";       f&gt; = " &amp;'Daten EZE'!M28</f>
        <v>f&lt; = -;       f&gt; = -</v>
      </c>
      <c r="B22" s="679"/>
      <c r="C22" s="679"/>
      <c r="D22" s="593"/>
      <c r="E22" s="994" t="str">
        <f>"Uc = "&amp;'Schutzprüf-Checkliste'!D60&amp;" kV"&amp;IF('Schutzprüf-Checkliste'!H27="kein Trafo",""," - Trafostellung: "&amp;'Schutzprüf-Checkliste'!D57&amp;" UNS = "&amp;'Schutzprüf-Checkliste'!D60/'Schutzprüf-Checkliste'!H27&amp;" kV")</f>
        <v>Uc =  kV</v>
      </c>
      <c r="F22" s="670"/>
      <c r="G22" s="670"/>
      <c r="H22" s="670"/>
      <c r="I22" s="671"/>
    </row>
    <row r="23" spans="1:9" ht="12.75" customHeight="1">
      <c r="A23" s="971" t="s">
        <v>535</v>
      </c>
      <c r="B23" s="670"/>
      <c r="C23" s="670"/>
      <c r="D23" s="670"/>
      <c r="E23" s="670"/>
      <c r="F23" s="670"/>
      <c r="G23" s="670"/>
      <c r="H23" s="670"/>
      <c r="I23" s="671"/>
    </row>
    <row r="24" spans="1:9" ht="12.75">
      <c r="A24" s="244" t="s">
        <v>386</v>
      </c>
      <c r="B24" s="244" t="s">
        <v>387</v>
      </c>
      <c r="C24" s="964" t="s">
        <v>388</v>
      </c>
      <c r="D24" s="670"/>
      <c r="E24" s="244" t="s">
        <v>389</v>
      </c>
      <c r="F24" s="244" t="s">
        <v>387</v>
      </c>
      <c r="G24" s="244" t="s">
        <v>390</v>
      </c>
      <c r="H24" s="244" t="s">
        <v>391</v>
      </c>
      <c r="I24" s="244" t="s">
        <v>392</v>
      </c>
    </row>
    <row r="25" spans="1:9" ht="12" customHeight="1">
      <c r="A25" s="245" t="str">
        <f>IF('Allgemeine Angaben'!C118="x","U&gt;", "U&gt;&gt;")</f>
        <v>U&gt;&gt;</v>
      </c>
      <c r="B25" s="370" t="e">
        <f>IF(ISBLANK('Schutzprüf-Checkliste'!C25),'Daten EZE'!L5,('Daten EZE'!N5))</f>
        <v>#REF!</v>
      </c>
      <c r="C25" s="995" t="e">
        <f>'Daten EZE'!L32</f>
        <v>#N/A</v>
      </c>
      <c r="D25" s="697"/>
      <c r="E25" s="246" t="str">
        <f>IF(ISBLANK('Schutzprüf-Checkliste'!$C$25),"L1-N","L1-L2")</f>
        <v>L1-N</v>
      </c>
      <c r="F25" s="587" t="e">
        <f>IF(ISBLANK('Schutzprüf-Checkliste'!C25),'Daten EZE'!M3,('Daten EZE'!O3))</f>
        <v>#REF!</v>
      </c>
      <c r="G25" s="587" t="str">
        <f>IF(ISBLANK('Allgemeine Angaben'!$C$17),"-",'Daten EZE'!$M$4)</f>
        <v>Eingabe falsch</v>
      </c>
      <c r="H25" s="623" t="e">
        <f>IF(ISBLANK('Schutzprüf-Checkliste'!$C$25),'Daten EZE'!H3,'Daten EZE'!K3)</f>
        <v>#VALUE!</v>
      </c>
      <c r="I25" s="592" t="e">
        <f>'Daten EZE'!M32</f>
        <v>#N/A</v>
      </c>
    </row>
    <row r="26" spans="1:9" ht="12" customHeight="1">
      <c r="A26" s="247"/>
      <c r="B26" s="370" t="e">
        <f>IF(ISBLANK('Schutzprüf-Checkliste'!C25),'Daten EZE'!L3,('Daten EZE'!N3))</f>
        <v>#REF!</v>
      </c>
      <c r="C26" s="960"/>
      <c r="D26" s="686"/>
      <c r="E26" s="248" t="str">
        <f>IF(ISBLANK('Schutzprüf-Checkliste'!$C$25),"L2-N","L2-L3")</f>
        <v>L2-N</v>
      </c>
      <c r="F26" s="587" t="e">
        <f>IF(ISBLANK('Schutzprüf-Checkliste'!C25),'Daten EZE'!M5,('Daten EZE'!O5))</f>
        <v>#REF!</v>
      </c>
      <c r="G26" s="587" t="str">
        <f>IF(ISBLANK('Allgemeine Angaben'!$C$17),"-",'Daten EZE'!$M$4)</f>
        <v>Eingabe falsch</v>
      </c>
      <c r="H26" s="623" t="e">
        <f>IF(ISBLANK('Schutzprüf-Checkliste'!$C$25),'Daten EZE'!H5,'Daten EZE'!K5)</f>
        <v>#VALUE!</v>
      </c>
      <c r="I26" s="588" t="e">
        <f>'Daten EZE'!M33</f>
        <v>#N/A</v>
      </c>
    </row>
    <row r="27" spans="1:9" ht="12" customHeight="1">
      <c r="A27" s="979" t="s">
        <v>397</v>
      </c>
      <c r="B27" s="990" t="str">
        <f>'Allgemeine Angaben'!C127</f>
        <v>Anzeige LED: U&gt;
Funktion in Ordnung</v>
      </c>
      <c r="C27" s="696"/>
      <c r="D27" s="697"/>
      <c r="E27" s="248" t="str">
        <f>IF(ISBLANK('Schutzprüf-Checkliste'!$C$25),"L3-N","L3-L1")</f>
        <v>L3-N</v>
      </c>
      <c r="F27" s="587" t="e">
        <f>IF(ISBLANK('Schutzprüf-Checkliste'!C25),'Daten EZE'!M6,('Daten EZE'!O6))</f>
        <v>#REF!</v>
      </c>
      <c r="G27" s="587" t="str">
        <f>IF(ISBLANK('Allgemeine Angaben'!$C$17),"-",'Daten EZE'!$M$4)</f>
        <v>Eingabe falsch</v>
      </c>
      <c r="H27" s="623" t="e">
        <f>IF(ISBLANK('Schutzprüf-Checkliste'!$C$25),'Daten EZE'!H6,'Daten EZE'!K6)</f>
        <v>#VALUE!</v>
      </c>
      <c r="I27" s="588" t="e">
        <f>'Daten EZE'!M34</f>
        <v>#N/A</v>
      </c>
    </row>
    <row r="28" spans="1:9" ht="12" customHeight="1">
      <c r="A28" s="677"/>
      <c r="B28" s="674"/>
      <c r="C28" s="679"/>
      <c r="D28" s="680"/>
      <c r="E28" s="249" t="s">
        <v>396</v>
      </c>
      <c r="F28" s="546" t="e">
        <f>IF(ISBLANK('Schutzprüf-Checkliste'!C25),'Daten EZE'!M7,('Daten EZE'!O7))</f>
        <v>#REF!</v>
      </c>
      <c r="G28" s="546" t="str">
        <f>IF(ISBLANK('Allgemeine Angaben'!$C$17),"-",'Daten EZE'!$M$4)</f>
        <v>Eingabe falsch</v>
      </c>
      <c r="H28" s="626" t="e">
        <f>IF(ISBLANK('Schutzprüf-Checkliste'!$C$25),'Daten EZE'!H7,'Daten EZE'!K7)</f>
        <v>#VALUE!</v>
      </c>
      <c r="I28" s="547" t="e">
        <f>'Daten EZE'!M35</f>
        <v>#N/A</v>
      </c>
    </row>
    <row r="29" spans="1:9" ht="12" customHeight="1">
      <c r="A29" s="245" t="str">
        <f>IF('Allgemeine Angaben'!C118="x","U&gt;&gt;", "U&gt;")</f>
        <v>U&gt;</v>
      </c>
      <c r="B29" s="370" t="str">
        <f>IF('Allgemeine Angaben'!C118="x", IF(ISBLANK('Schutzprüf-Checkliste'!C25),'Daten EZE'!L11,('Daten EZE'!N11)),"-")</f>
        <v>-</v>
      </c>
      <c r="C29" s="978" t="str">
        <f>IF('Allgemeine Angaben'!C118="x", 'Daten EZE'!L36,"-")</f>
        <v>-</v>
      </c>
      <c r="D29" s="686"/>
      <c r="E29" s="246" t="str">
        <f>IF('Allgemeine Angaben'!$C$118="x", IF(ISBLANK('Schutzprüf-Checkliste'!$C$25),"L1-N","L1-L2"),"-")</f>
        <v>-</v>
      </c>
      <c r="F29" s="587" t="str">
        <f>IF('Allgemeine Angaben'!$C$118="x", IF(ISBLANK('Schutzprüf-Checkliste'!C25),'Daten EZE'!M9,('Daten EZE'!O9)),"-")</f>
        <v>-</v>
      </c>
      <c r="G29" s="591" t="str">
        <f>IF('Allgemeine Angaben'!$C$118="x",IF(ISBLANK('Allgemeine Angaben'!$C$17),"-",'Daten EZE'!$M$10),"-")</f>
        <v>-</v>
      </c>
      <c r="H29" s="620" t="str">
        <f>IF('Allgemeine Angaben'!$C$118="x", IF(ISBLANK('Schutzprüf-Checkliste'!$C$25),'Daten EZE'!H9,'Daten EZE'!K9),"-")</f>
        <v>-</v>
      </c>
      <c r="I29" s="592" t="str">
        <f>IF('Allgemeine Angaben'!$C$118="x", 'Daten EZE'!M36,"-")</f>
        <v>-</v>
      </c>
    </row>
    <row r="30" spans="1:9" ht="12" customHeight="1">
      <c r="A30" s="247"/>
      <c r="B30" s="370" t="str">
        <f>IF('Allgemeine Angaben'!C118="x", IF(ISBLANK('Schutzprüf-Checkliste'!C25),'Daten EZE'!L9,('Daten EZE'!N12)),"-")</f>
        <v>-</v>
      </c>
      <c r="C30" s="960"/>
      <c r="D30" s="686"/>
      <c r="E30" s="248" t="str">
        <f>IF('Allgemeine Angaben'!$C$118="x",IF(ISBLANK('Schutzprüf-Checkliste'!$C$25),"L2-N","L2-L3"),"-")</f>
        <v>-</v>
      </c>
      <c r="F30" s="587" t="str">
        <f>IF('Allgemeine Angaben'!$C$118="x", IF(ISBLANK('Schutzprüf-Checkliste'!C25),'Daten EZE'!M11,('Daten EZE'!O11)),"-")</f>
        <v>-</v>
      </c>
      <c r="G30" s="587" t="str">
        <f>IF('Allgemeine Angaben'!$C$118="x",IF(ISBLANK('Allgemeine Angaben'!$C$17),"-",'Daten EZE'!$M$10),"-")</f>
        <v>-</v>
      </c>
      <c r="H30" s="623" t="str">
        <f>IF('Allgemeine Angaben'!$C$118="x", IF(ISBLANK('Schutzprüf-Checkliste'!$C$25),'Daten EZE'!H11,'Daten EZE'!K11),"-")</f>
        <v>-</v>
      </c>
      <c r="I30" s="588" t="str">
        <f>IF('Allgemeine Angaben'!$C$118="x", 'Daten EZE'!M37,"-")</f>
        <v>-</v>
      </c>
    </row>
    <row r="31" spans="1:9" ht="12" customHeight="1">
      <c r="A31" s="979" t="s">
        <v>397</v>
      </c>
      <c r="B31" s="990" t="str">
        <f>IF('Allgemeine Angaben'!$C$118="x", 'Allgemeine Angaben'!C128,"-")</f>
        <v>-</v>
      </c>
      <c r="C31" s="696"/>
      <c r="D31" s="697"/>
      <c r="E31" s="248" t="str">
        <f>IF('Allgemeine Angaben'!$C$118="x",IF(ISBLANK('Schutzprüf-Checkliste'!$C$25),"L3-N","L3-L1"),"-")</f>
        <v>-</v>
      </c>
      <c r="F31" s="587" t="str">
        <f>IF('Allgemeine Angaben'!$C$118="x",IF(ISBLANK('Schutzprüf-Checkliste'!C25),'Daten EZE'!M12,('Daten EZE'!O12)),"-")</f>
        <v>-</v>
      </c>
      <c r="G31" s="587" t="str">
        <f>IF('Allgemeine Angaben'!$C$118="x",IF(ISBLANK('Allgemeine Angaben'!$C$17),"-",'Daten EZE'!$M$10),"-")</f>
        <v>-</v>
      </c>
      <c r="H31" s="623" t="str">
        <f>IF('Allgemeine Angaben'!$C$118="x", IF(ISBLANK('Schutzprüf-Checkliste'!$C$25),'Daten EZE'!H12,'Daten EZE'!K12),"-")</f>
        <v>-</v>
      </c>
      <c r="I31" s="588" t="str">
        <f>IF('Allgemeine Angaben'!$C$118="x", 'Daten EZE'!M38,"-")</f>
        <v>-</v>
      </c>
    </row>
    <row r="32" spans="1:9" ht="12" customHeight="1">
      <c r="A32" s="677"/>
      <c r="B32" s="674"/>
      <c r="C32" s="679"/>
      <c r="D32" s="680"/>
      <c r="E32" s="249" t="str">
        <f>IF('Allgemeine Angaben'!$C$118="x",IF(ISBLANK('Schutzprüf-Checkliste'!$C$25),"L1-L2-L3","L1-L2-L3"),"-")</f>
        <v>-</v>
      </c>
      <c r="F32" s="546" t="str">
        <f>IF('Allgemeine Angaben'!$C$118="x", IF(ISBLANK('Schutzprüf-Checkliste'!C25),'Daten EZE'!M13,('Daten EZE'!O13)),"-")</f>
        <v>-</v>
      </c>
      <c r="G32" s="546" t="str">
        <f>IF('Allgemeine Angaben'!$C$118="x",IF(ISBLANK('Allgemeine Angaben'!$C$17),"-",'Daten EZE'!$M$10),"-")</f>
        <v>-</v>
      </c>
      <c r="H32" s="626" t="str">
        <f>IF('Allgemeine Angaben'!$C$118="x", IF(ISBLANK('Schutzprüf-Checkliste'!$C$25),'Daten EZE'!H13,'Daten EZE'!K13),"-")</f>
        <v>-</v>
      </c>
      <c r="I32" s="547" t="str">
        <f>IF('Allgemeine Angaben'!$C$118="x", 'Daten EZE'!M39,"-")</f>
        <v>-</v>
      </c>
    </row>
    <row r="33" spans="1:9" ht="12" customHeight="1">
      <c r="A33" s="245" t="s">
        <v>304</v>
      </c>
      <c r="B33" s="370" t="e">
        <f>IF(ISBLANK('Schutzprüf-Checkliste'!C25),'Daten EZE'!L16,('Daten EZE'!N16))</f>
        <v>#REF!</v>
      </c>
      <c r="C33" s="978" t="e">
        <f>'Daten EZE'!L40</f>
        <v>#N/A</v>
      </c>
      <c r="D33" s="686"/>
      <c r="E33" s="246" t="str">
        <f>IF(ISBLANK('Schutzprüf-Checkliste'!$C$25),"L1-N","L1-L2")</f>
        <v>L1-N</v>
      </c>
      <c r="F33" s="587" t="e">
        <f>IF(ISBLANK('Schutzprüf-Checkliste'!C25),'Daten EZE'!M14,('Daten EZE'!O14))</f>
        <v>#REF!</v>
      </c>
      <c r="G33" s="587" t="str">
        <f>'Daten EZE'!$M$15</f>
        <v>Eingabe falsch</v>
      </c>
      <c r="H33" s="623" t="e">
        <f>IF(ISBLANK('Schutzprüf-Checkliste'!$C$25),'Daten EZE'!H14,'Daten EZE'!K14)</f>
        <v>#VALUE!</v>
      </c>
      <c r="I33" s="588" t="e">
        <f>'Daten EZE'!M40</f>
        <v>#N/A</v>
      </c>
    </row>
    <row r="34" spans="1:9" ht="12" customHeight="1">
      <c r="A34" s="247"/>
      <c r="B34" s="370" t="e">
        <f>IF(ISBLANK('Schutzprüf-Checkliste'!C25),'Daten EZE'!L14,('Daten EZE'!N14))</f>
        <v>#REF!</v>
      </c>
      <c r="C34" s="960"/>
      <c r="D34" s="686"/>
      <c r="E34" s="248" t="str">
        <f>IF(ISBLANK('Schutzprüf-Checkliste'!$C$25),"L2-N","L2-L3")</f>
        <v>L2-N</v>
      </c>
      <c r="F34" s="587" t="e">
        <f>IF(ISBLANK('Schutzprüf-Checkliste'!C25),'Daten EZE'!M16,('Daten EZE'!O16))</f>
        <v>#REF!</v>
      </c>
      <c r="G34" s="587" t="str">
        <f>'Daten EZE'!$M$15</f>
        <v>Eingabe falsch</v>
      </c>
      <c r="H34" s="623" t="e">
        <f>IF(ISBLANK('Schutzprüf-Checkliste'!$C$25),'Daten EZE'!H16,'Daten EZE'!K16)</f>
        <v>#VALUE!</v>
      </c>
      <c r="I34" s="588" t="e">
        <f>'Daten EZE'!M41</f>
        <v>#N/A</v>
      </c>
    </row>
    <row r="35" spans="1:9" ht="12" customHeight="1">
      <c r="A35" s="979" t="s">
        <v>397</v>
      </c>
      <c r="B35" s="990" t="str">
        <f>'Allgemeine Angaben'!C129</f>
        <v>Anzeige LED: U&lt;
Funktion in Ordnung</v>
      </c>
      <c r="C35" s="696"/>
      <c r="D35" s="697"/>
      <c r="E35" s="248" t="str">
        <f>IF(ISBLANK('Schutzprüf-Checkliste'!$C$25),"L3-N","L3-L1")</f>
        <v>L3-N</v>
      </c>
      <c r="F35" s="587" t="e">
        <f>IF(ISBLANK('Schutzprüf-Checkliste'!C25),'Daten EZE'!M17,('Daten EZE'!O17))</f>
        <v>#REF!</v>
      </c>
      <c r="G35" s="587" t="str">
        <f>'Daten EZE'!$M$15</f>
        <v>Eingabe falsch</v>
      </c>
      <c r="H35" s="623" t="e">
        <f>IF(ISBLANK('Schutzprüf-Checkliste'!$C$25),'Daten EZE'!H17,'Daten EZE'!K17)</f>
        <v>#VALUE!</v>
      </c>
      <c r="I35" s="588" t="e">
        <f>'Daten EZE'!M42</f>
        <v>#N/A</v>
      </c>
    </row>
    <row r="36" spans="1:9" ht="12" customHeight="1">
      <c r="A36" s="677"/>
      <c r="B36" s="674"/>
      <c r="C36" s="679"/>
      <c r="D36" s="680"/>
      <c r="E36" s="249" t="s">
        <v>396</v>
      </c>
      <c r="F36" s="546" t="e">
        <f>IF(ISBLANK('Schutzprüf-Checkliste'!C25),'Daten EZE'!M18,('Daten EZE'!O18))</f>
        <v>#REF!</v>
      </c>
      <c r="G36" s="546" t="str">
        <f>'Daten EZE'!$M$15</f>
        <v>Eingabe falsch</v>
      </c>
      <c r="H36" s="626" t="e">
        <f>IF(ISBLANK('Schutzprüf-Checkliste'!$C$25),'Daten EZE'!H18,'Daten EZE'!K18)</f>
        <v>#VALUE!</v>
      </c>
      <c r="I36" s="547" t="e">
        <f>'Daten EZE'!M43</f>
        <v>#N/A</v>
      </c>
    </row>
    <row r="37" spans="1:9" ht="12" customHeight="1">
      <c r="A37" s="245" t="s">
        <v>352</v>
      </c>
      <c r="B37" s="370" t="e">
        <f>IF(ISBLANK('Schutzprüf-Checkliste'!C25),'Daten EZE'!L22,('Daten EZE'!N22))</f>
        <v>#N/A</v>
      </c>
      <c r="C37" s="978" t="e">
        <f>'Daten EZE'!L44</f>
        <v>#N/A</v>
      </c>
      <c r="D37" s="686"/>
      <c r="E37" s="246" t="str">
        <f>IF(ISBLANK('Schutzprüf-Checkliste'!$C$25),"L1-N","L1-L2")</f>
        <v>L1-N</v>
      </c>
      <c r="F37" s="587" t="e">
        <f>IF(ISBLANK('Schutzprüf-Checkliste'!C25),'Daten EZE'!M20,('Daten EZE'!O20))</f>
        <v>#N/A</v>
      </c>
      <c r="G37" s="587" t="str">
        <f>IF(ISBLANK('Allgemeine Angaben'!$C$19),"-",'Daten EZE'!$M$21)</f>
        <v>Eingabe falsch</v>
      </c>
      <c r="H37" s="620" t="e">
        <f>IF(ISBLANK('Schutzprüf-Checkliste'!$C$25),'Daten EZE'!H20,'Daten EZE'!K20)</f>
        <v>#VALUE!</v>
      </c>
      <c r="I37" s="592" t="e">
        <f>'Daten EZE'!M44</f>
        <v>#N/A</v>
      </c>
    </row>
    <row r="38" spans="1:9" ht="12" customHeight="1">
      <c r="A38" s="247"/>
      <c r="B38" s="370" t="e">
        <f>IF(ISBLANK('Schutzprüf-Checkliste'!C25),'Daten EZE'!L20,('Daten EZE'!N20))</f>
        <v>#N/A</v>
      </c>
      <c r="C38" s="960"/>
      <c r="D38" s="686"/>
      <c r="E38" s="248" t="str">
        <f>IF(ISBLANK('Schutzprüf-Checkliste'!$C$25),"L2-N","L2-L3")</f>
        <v>L2-N</v>
      </c>
      <c r="F38" s="587" t="e">
        <f>IF(ISBLANK('Schutzprüf-Checkliste'!C25),'Daten EZE'!M22,('Daten EZE'!O22))</f>
        <v>#N/A</v>
      </c>
      <c r="G38" s="587" t="str">
        <f>IF(ISBLANK('Allgemeine Angaben'!$C$19),"-",'Daten EZE'!$M$21)</f>
        <v>Eingabe falsch</v>
      </c>
      <c r="H38" s="623" t="e">
        <f>IF(ISBLANK('Schutzprüf-Checkliste'!$C$25),'Daten EZE'!H22,'Daten EZE'!K22)</f>
        <v>#VALUE!</v>
      </c>
      <c r="I38" s="588" t="e">
        <f>'Daten EZE'!M45</f>
        <v>#N/A</v>
      </c>
    </row>
    <row r="39" spans="1:9" ht="12" customHeight="1">
      <c r="A39" s="979" t="s">
        <v>397</v>
      </c>
      <c r="B39" s="975" t="str">
        <f>'Allgemeine Angaben'!C130</f>
        <v>Anzeige LED: U&lt;&lt;
Funktion in Ordnung</v>
      </c>
      <c r="C39" s="696"/>
      <c r="D39" s="696"/>
      <c r="E39" s="248" t="str">
        <f>IF(ISBLANK('Schutzprüf-Checkliste'!$C$25),"L3-N","L3-L1")</f>
        <v>L3-N</v>
      </c>
      <c r="F39" s="587" t="e">
        <f>IF(ISBLANK('Schutzprüf-Checkliste'!C25),'Daten EZE'!M23,('Daten EZE'!O23))</f>
        <v>#N/A</v>
      </c>
      <c r="G39" s="587" t="str">
        <f>IF(ISBLANK('Allgemeine Angaben'!$C$19),"-",'Daten EZE'!$M$21)</f>
        <v>Eingabe falsch</v>
      </c>
      <c r="H39" s="623" t="e">
        <f>IF(ISBLANK('Schutzprüf-Checkliste'!$C$25),'Daten EZE'!H23,'Daten EZE'!K23)</f>
        <v>#VALUE!</v>
      </c>
      <c r="I39" s="588" t="e">
        <f>'Daten EZE'!M46</f>
        <v>#N/A</v>
      </c>
    </row>
    <row r="40" spans="1:9" ht="12" customHeight="1">
      <c r="A40" s="677"/>
      <c r="B40" s="673"/>
      <c r="C40" s="960"/>
      <c r="D40" s="960"/>
      <c r="E40" s="249" t="s">
        <v>396</v>
      </c>
      <c r="F40" s="587" t="e">
        <f>IF(ISBLANK('Schutzprüf-Checkliste'!C25),'Daten EZE'!M24,('Daten EZE'!O24))</f>
        <v>#N/A</v>
      </c>
      <c r="G40" s="587" t="str">
        <f>IF(ISBLANK('Allgemeine Angaben'!$C$19),"-",'Daten EZE'!$M$21)</f>
        <v>Eingabe falsch</v>
      </c>
      <c r="H40" s="623" t="e">
        <f>IF(ISBLANK('Schutzprüf-Checkliste'!$C$25),'Daten EZE'!H24,'Daten EZE'!K24)</f>
        <v>#VALUE!</v>
      </c>
      <c r="I40" s="547" t="e">
        <f>'Daten EZE'!M47</f>
        <v>#N/A</v>
      </c>
    </row>
    <row r="41" spans="1:9" ht="12.75" customHeight="1">
      <c r="A41" s="971" t="s">
        <v>407</v>
      </c>
      <c r="B41" s="670"/>
      <c r="C41" s="670"/>
      <c r="D41" s="670"/>
      <c r="E41" s="670"/>
      <c r="F41" s="670"/>
      <c r="G41" s="670"/>
      <c r="H41" s="670"/>
      <c r="I41" s="671"/>
    </row>
    <row r="42" spans="1:9" ht="12.75">
      <c r="A42" s="244" t="s">
        <v>386</v>
      </c>
      <c r="B42" s="244" t="s">
        <v>387</v>
      </c>
      <c r="C42" s="964" t="s">
        <v>388</v>
      </c>
      <c r="D42" s="670"/>
      <c r="E42" s="244" t="s">
        <v>389</v>
      </c>
      <c r="F42" s="244" t="s">
        <v>387</v>
      </c>
      <c r="G42" s="962" t="s">
        <v>536</v>
      </c>
      <c r="H42" s="671"/>
      <c r="I42" s="244" t="s">
        <v>392</v>
      </c>
    </row>
    <row r="43" spans="1:9" ht="12.75">
      <c r="A43" s="250" t="s">
        <v>409</v>
      </c>
      <c r="B43" s="589" t="e">
        <f>'Daten EZE'!L25</f>
        <v>#VALUE!</v>
      </c>
      <c r="C43" s="988" t="str">
        <f>'Daten EZE'!L48</f>
        <v>-</v>
      </c>
      <c r="D43" s="697"/>
      <c r="E43" s="251" t="s">
        <v>396</v>
      </c>
      <c r="F43" s="589" t="str">
        <f>IF(ISBLANK('Daten EZE'!E25),"-",('Daten EZE'!M25))</f>
        <v>-</v>
      </c>
      <c r="G43" s="977" t="str">
        <f>IF(ISBLANK('Daten EZE'!E28),"-",('Daten EZE'!M26))</f>
        <v>-</v>
      </c>
      <c r="H43" s="696"/>
      <c r="I43" s="252" t="str">
        <f>'Daten EZE'!M48</f>
        <v>-</v>
      </c>
    </row>
    <row r="44" spans="1:9" ht="12.75">
      <c r="A44" s="253" t="s">
        <v>410</v>
      </c>
      <c r="B44" s="589" t="e">
        <f>'Daten EZE'!L27</f>
        <v>#VALUE!</v>
      </c>
      <c r="C44" s="983" t="str">
        <f>'Daten EZE'!L49</f>
        <v>-</v>
      </c>
      <c r="D44" s="686"/>
      <c r="E44" s="254" t="s">
        <v>396</v>
      </c>
      <c r="F44" s="589" t="str">
        <f>IF(ISBLANK('Daten EZE'!E27),"-",('Daten EZE'!M27))</f>
        <v>-</v>
      </c>
      <c r="G44" s="989" t="str">
        <f>IF(ISBLANK('Daten EZE'!E28),"-",('Daten EZE'!M28))</f>
        <v>-</v>
      </c>
      <c r="H44" s="960"/>
      <c r="I44" s="252" t="str">
        <f>'Daten EZE'!M49</f>
        <v>-</v>
      </c>
    </row>
    <row r="45" spans="1:9" ht="12.75">
      <c r="A45" s="255" t="s">
        <v>537</v>
      </c>
      <c r="B45" s="245" t="str">
        <f>'Daten EZE'!L29</f>
        <v>-</v>
      </c>
      <c r="C45" s="968" t="str">
        <f>'Daten EZE'!L50</f>
        <v>-</v>
      </c>
      <c r="D45" s="680"/>
      <c r="E45" s="256" t="s">
        <v>396</v>
      </c>
      <c r="F45" s="257" t="str">
        <f>'Daten EZE'!M29</f>
        <v>-</v>
      </c>
      <c r="G45" s="976" t="str">
        <f>IF((F45="-"),"-",G44)</f>
        <v>-</v>
      </c>
      <c r="H45" s="679"/>
      <c r="I45" s="258" t="str">
        <f>'Daten EZE'!M50</f>
        <v>-</v>
      </c>
    </row>
    <row r="46" spans="1:9" ht="12.75">
      <c r="A46" s="590" t="s">
        <v>397</v>
      </c>
      <c r="B46" s="984" t="str">
        <f>'Allgemeine Angaben'!C131</f>
        <v>Anzeige LED: f&lt;&gt; - Funktion in Ordnung</v>
      </c>
      <c r="C46" s="670"/>
      <c r="D46" s="670"/>
      <c r="E46" s="670"/>
      <c r="F46" s="670"/>
      <c r="G46" s="670"/>
      <c r="H46" s="670"/>
      <c r="I46" s="671"/>
    </row>
    <row r="47" spans="1:9" ht="12.75" customHeight="1">
      <c r="A47" s="971" t="s">
        <v>2</v>
      </c>
      <c r="B47" s="670"/>
      <c r="C47" s="670"/>
      <c r="D47" s="670"/>
      <c r="E47" s="670"/>
      <c r="F47" s="670"/>
      <c r="G47" s="670"/>
      <c r="H47" s="670"/>
      <c r="I47" s="671"/>
    </row>
    <row r="48" spans="1:9" ht="12.75">
      <c r="A48" s="986" t="str">
        <f>IF(F50="NICHT OK", "Die Schutzeinrichtung ist nicht funktionstüchtig!", "Die Schutzeinrichtung ist funktionstüchtig!")</f>
        <v>Die Schutzeinrichtung ist funktionstüchtig!</v>
      </c>
      <c r="B48" s="670"/>
      <c r="C48" s="670"/>
      <c r="D48" s="670"/>
      <c r="E48" s="670"/>
      <c r="F48" s="670"/>
      <c r="G48" s="670"/>
      <c r="H48" s="670"/>
      <c r="I48" s="671"/>
    </row>
    <row r="49" spans="1:10" ht="12" customHeight="1">
      <c r="A49" s="966" t="str">
        <f>IF('Daten EZE'!S6="x","ACHTUNG RÜCKFALLVERHÄLTNIS",IF('Schutzprüf-Checkliste'!I26=TRUE,"Spannungswandler 800V//100V",""))</f>
        <v/>
      </c>
      <c r="B49" s="696"/>
      <c r="C49" s="696"/>
      <c r="D49" s="696"/>
      <c r="E49" s="697"/>
      <c r="F49" s="315" t="s">
        <v>481</v>
      </c>
      <c r="G49" s="963" t="str">
        <f>IF('Allgemeine Angaben'!C7="Gunnar Schäfer",'Allgemeine Angaben'!D7,'Allgemeine Angaben'!E7)</f>
        <v>Bild</v>
      </c>
      <c r="H49" s="696"/>
      <c r="I49" s="697"/>
    </row>
    <row r="50" spans="1:10" ht="12" customHeight="1">
      <c r="A50" s="970" t="str">
        <f>IF(OR('Allgemeine Angaben'!C125="x",'Allgemeine Angaben'!C125="NICHT OK",),"Abschaltung LS"&amp;'Schutzprüf-Checkliste'!C83&amp;" im Fehlerfall geprüft (gesamte Wirkungskette)"," ")</f>
        <v xml:space="preserve"> </v>
      </c>
      <c r="B50" s="793"/>
      <c r="C50" s="793"/>
      <c r="D50" s="793"/>
      <c r="E50" s="828"/>
      <c r="F50" s="137" t="str">
        <f>IF('Allgemeine Angaben'!C125=(""),"",'Allgemeine Angaben'!C125)</f>
        <v/>
      </c>
      <c r="G50" s="673"/>
      <c r="H50" s="960"/>
      <c r="I50" s="686"/>
    </row>
    <row r="51" spans="1:10" ht="12" customHeight="1">
      <c r="A51" s="965" t="str">
        <f>IF('Schutzprüf-Checkliste'!I84=TRUE,"Abschaltung LS"&amp;'Schutzprüf-Checkliste'!C83&amp;" nach Ausfall der Hilfs- und Messspannung"," ")</f>
        <v xml:space="preserve"> </v>
      </c>
      <c r="B51" s="788"/>
      <c r="C51" s="788"/>
      <c r="D51" s="788"/>
      <c r="E51" s="888"/>
      <c r="F51" s="137" t="str">
        <f>IF('Schutzprüf-Checkliste'!I84=TRUE,"x","-")</f>
        <v>-</v>
      </c>
      <c r="G51" s="673"/>
      <c r="H51" s="960"/>
      <c r="I51" s="686"/>
    </row>
    <row r="52" spans="1:10" ht="12" customHeight="1">
      <c r="A52" s="965" t="str">
        <f>IF('Schutzprüf-Checkliste'!I85=TRUE,"Abschaltung LS"&amp;'Schutzprüf-Checkliste'!C83&amp;" nach Ausfall Schutzrelais (Live Contact)"," ")</f>
        <v xml:space="preserve"> </v>
      </c>
      <c r="B52" s="788"/>
      <c r="C52" s="788"/>
      <c r="D52" s="788"/>
      <c r="E52" s="888"/>
      <c r="F52" s="137" t="str">
        <f>IF('Schutzprüf-Checkliste'!I85=TRUE,"x","-")</f>
        <v>-</v>
      </c>
      <c r="G52" s="673"/>
      <c r="H52" s="960"/>
      <c r="I52" s="686"/>
    </row>
    <row r="53" spans="1:10" ht="12" customHeight="1">
      <c r="A53" s="965" t="str">
        <f>IF('Schutzprüf-Checkliste'!E91="x","DC Batterieanlage in Ordnung"," ")</f>
        <v xml:space="preserve"> </v>
      </c>
      <c r="B53" s="788"/>
      <c r="C53" s="788"/>
      <c r="D53" s="788"/>
      <c r="E53" s="888"/>
      <c r="F53" s="137" t="str">
        <f>IF('Schutzprüf-Checkliste'!E91="x","x","-")</f>
        <v>-</v>
      </c>
      <c r="G53" s="673"/>
      <c r="H53" s="960"/>
      <c r="I53" s="686"/>
    </row>
    <row r="54" spans="1:10" ht="12" customHeight="1">
      <c r="A54" s="965" t="str">
        <f>IF('Schutzprüf-Checkliste'!E87="x","Keine AWZ vorhanden",IF('Schutzprüf-Checkliste'!E88="x","AWZ nach "&amp;'Schutzprüf-Checkliste'!J88 &amp;" s eingestellt"&amp;IF('Schutzprüf-Checkliste'!E89="x"," und geprüft","")," "))</f>
        <v xml:space="preserve"> </v>
      </c>
      <c r="B54" s="788"/>
      <c r="C54" s="788"/>
      <c r="D54" s="788"/>
      <c r="E54" s="888"/>
      <c r="F54" s="137" t="str">
        <f>IF('Schutzprüf-Checkliste'!E87="x","x",IF('Schutzprüf-Checkliste'!E88="x","x","-"))</f>
        <v>-</v>
      </c>
      <c r="G54" s="673"/>
      <c r="H54" s="960"/>
      <c r="I54" s="686"/>
      <c r="J54" s="437" t="e">
        <v>#VALUE!</v>
      </c>
    </row>
    <row r="55" spans="1:10" ht="12" customHeight="1">
      <c r="A55" s="969" t="str">
        <f>IF('Schutzprüf-Checkliste'!E86="x","Prüfklemmleiste vorhanden"," ")</f>
        <v xml:space="preserve"> </v>
      </c>
      <c r="B55" s="788"/>
      <c r="C55" s="788"/>
      <c r="D55" s="788"/>
      <c r="E55" s="788"/>
      <c r="F55" s="470" t="str">
        <f>IF('Schutzprüf-Checkliste'!E86="x","x","-")</f>
        <v>-</v>
      </c>
      <c r="G55" s="673"/>
      <c r="H55" s="960"/>
      <c r="I55" s="686"/>
      <c r="J55" s="437" t="e">
        <v>#VALUE!</v>
      </c>
    </row>
    <row r="56" spans="1:10" ht="12" customHeight="1">
      <c r="A56" s="585" t="s">
        <v>485</v>
      </c>
      <c r="B56" s="586"/>
      <c r="C56" s="586"/>
      <c r="D56" s="586"/>
      <c r="E56" s="586"/>
      <c r="F56" s="470" t="s">
        <v>251</v>
      </c>
      <c r="G56" s="673"/>
      <c r="H56" s="960"/>
      <c r="I56" s="686"/>
    </row>
    <row r="57" spans="1:10" ht="12" customHeight="1">
      <c r="A57" s="965" t="str">
        <f>IF(IFERROR('Daten EZE'!O51,"fehler")="fehler","",IF(ISBLANK('Allgemeine Angaben'!D113),'Allgemeine Angaben'!C113," "))</f>
        <v/>
      </c>
      <c r="B57" s="788"/>
      <c r="C57" s="788"/>
      <c r="D57" s="788"/>
      <c r="E57" s="788"/>
      <c r="F57" s="888"/>
      <c r="G57" s="673"/>
      <c r="H57" s="960"/>
      <c r="I57" s="686"/>
    </row>
    <row r="58" spans="1:10" ht="12" customHeight="1">
      <c r="A58" s="965" t="s">
        <v>538</v>
      </c>
      <c r="B58" s="788"/>
      <c r="C58" s="788"/>
      <c r="D58" s="788"/>
      <c r="E58" s="788"/>
      <c r="F58" s="888"/>
      <c r="G58" s="673"/>
      <c r="H58" s="960"/>
      <c r="I58" s="686"/>
    </row>
    <row r="59" spans="1:10" ht="12" customHeight="1">
      <c r="A59" s="987" t="str">
        <f>IF(ISBLANK('Schutzprüf-Checkliste'!C25)," ","Überwachung der Phase-Phase Spannungen")</f>
        <v xml:space="preserve"> </v>
      </c>
      <c r="B59" s="784"/>
      <c r="C59" s="784"/>
      <c r="D59" s="784"/>
      <c r="E59" s="784"/>
      <c r="F59" s="785"/>
      <c r="G59" s="985" t="str">
        <f>'Allgemeine Angaben'!C7</f>
        <v>Kevin Koehn</v>
      </c>
      <c r="H59" s="670"/>
      <c r="I59" s="671"/>
    </row>
  </sheetData>
  <mergeCells count="75">
    <mergeCell ref="A1:I1"/>
    <mergeCell ref="G8:I8"/>
    <mergeCell ref="G17:I17"/>
    <mergeCell ref="A31:A32"/>
    <mergeCell ref="E22:I22"/>
    <mergeCell ref="E18:F18"/>
    <mergeCell ref="C25:D26"/>
    <mergeCell ref="E7:F7"/>
    <mergeCell ref="A12:D12"/>
    <mergeCell ref="A19:B19"/>
    <mergeCell ref="A13:D18"/>
    <mergeCell ref="G20:I20"/>
    <mergeCell ref="E9:F9"/>
    <mergeCell ref="G16:I16"/>
    <mergeCell ref="A3:I3"/>
    <mergeCell ref="A2:I2"/>
    <mergeCell ref="G59:I59"/>
    <mergeCell ref="A48:I48"/>
    <mergeCell ref="A59:F59"/>
    <mergeCell ref="C43:D43"/>
    <mergeCell ref="G7:I7"/>
    <mergeCell ref="A53:E53"/>
    <mergeCell ref="G44:H44"/>
    <mergeCell ref="G14:I14"/>
    <mergeCell ref="B35:D36"/>
    <mergeCell ref="A47:I47"/>
    <mergeCell ref="B31:D32"/>
    <mergeCell ref="E19:F19"/>
    <mergeCell ref="B27:D28"/>
    <mergeCell ref="A22:C22"/>
    <mergeCell ref="A23:I23"/>
    <mergeCell ref="B9:D9"/>
    <mergeCell ref="C44:D44"/>
    <mergeCell ref="E13:F13"/>
    <mergeCell ref="A52:E52"/>
    <mergeCell ref="A39:A40"/>
    <mergeCell ref="B46:I46"/>
    <mergeCell ref="E17:F17"/>
    <mergeCell ref="E8:F8"/>
    <mergeCell ref="G15:I15"/>
    <mergeCell ref="B39:D40"/>
    <mergeCell ref="G9:I9"/>
    <mergeCell ref="G45:H45"/>
    <mergeCell ref="G43:H43"/>
    <mergeCell ref="A41:I41"/>
    <mergeCell ref="C33:D34"/>
    <mergeCell ref="A35:A36"/>
    <mergeCell ref="A27:A28"/>
    <mergeCell ref="E20:F20"/>
    <mergeCell ref="A10:I10"/>
    <mergeCell ref="E15:F15"/>
    <mergeCell ref="C37:D38"/>
    <mergeCell ref="E16:F16"/>
    <mergeCell ref="C29:D30"/>
    <mergeCell ref="E12:I12"/>
    <mergeCell ref="C24:D24"/>
    <mergeCell ref="G13:I13"/>
    <mergeCell ref="G19:I19"/>
    <mergeCell ref="E14:F14"/>
    <mergeCell ref="B7:D7"/>
    <mergeCell ref="G21:I21"/>
    <mergeCell ref="B8:D8"/>
    <mergeCell ref="G42:H42"/>
    <mergeCell ref="G49:I58"/>
    <mergeCell ref="C42:D42"/>
    <mergeCell ref="A51:E51"/>
    <mergeCell ref="A49:E49"/>
    <mergeCell ref="G18:I18"/>
    <mergeCell ref="C45:D45"/>
    <mergeCell ref="A57:F57"/>
    <mergeCell ref="A54:E54"/>
    <mergeCell ref="A55:E55"/>
    <mergeCell ref="A50:E50"/>
    <mergeCell ref="A58:F58"/>
    <mergeCell ref="A11:I11"/>
  </mergeCells>
  <conditionalFormatting sqref="F50">
    <cfRule type="cellIs" dxfId="1" priority="2" operator="equal">
      <formula>"NICHT OK"</formula>
    </cfRule>
  </conditionalFormatting>
  <conditionalFormatting sqref="A48:I48">
    <cfRule type="expression" dxfId="0" priority="1">
      <formula>F50="NICHT OK"</formula>
    </cfRule>
  </conditionalFormatting>
  <pageMargins left="0.78740157499999996" right="0.78740157499999996" top="0.984251969" bottom="0.984251969" header="0.4921259845" footer="0.4921259845"/>
  <pageSetup paperSize="9" orientation="portrait"/>
  <headerFooter alignWithMargins="0">
    <oddFooter>&amp;L&amp;D&amp;RSeite &amp;P von &amp;N</oddFooter>
  </headerFooter>
  <colBreaks count="1" manualBreakCount="1">
    <brk id="9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S260"/>
  <sheetViews>
    <sheetView topLeftCell="A104" workbookViewId="0">
      <selection activeCell="C134" sqref="C134"/>
    </sheetView>
  </sheetViews>
  <sheetFormatPr baseColWidth="10" defaultRowHeight="12.75"/>
  <cols>
    <col min="1" max="1" width="9" style="489" bestFit="1" customWidth="1"/>
    <col min="2" max="2" width="4" style="489" bestFit="1" customWidth="1"/>
    <col min="3" max="3" width="21.85546875" style="43" bestFit="1" customWidth="1"/>
    <col min="4" max="5" width="11.7109375" style="489" bestFit="1" customWidth="1"/>
    <col min="6" max="6" width="9.140625" style="489" bestFit="1" customWidth="1"/>
    <col min="7" max="7" width="9.140625" style="638" bestFit="1" customWidth="1"/>
    <col min="8" max="8" width="15.28515625" style="638" bestFit="1" customWidth="1"/>
    <col min="9" max="9" width="12" style="638" bestFit="1" customWidth="1"/>
    <col min="10" max="10" width="12" style="489" bestFit="1" customWidth="1"/>
    <col min="11" max="11" width="9" style="489" bestFit="1" customWidth="1"/>
    <col min="12" max="12" width="11" style="489" bestFit="1" customWidth="1"/>
    <col min="13" max="13" width="11.42578125" style="53" customWidth="1"/>
    <col min="16" max="16" width="45.5703125" style="489" bestFit="1" customWidth="1"/>
  </cols>
  <sheetData>
    <row r="1" spans="1:19" ht="15" customHeight="1">
      <c r="A1" s="1025" t="s">
        <v>539</v>
      </c>
      <c r="B1" s="1028" t="s">
        <v>540</v>
      </c>
      <c r="C1" s="44"/>
      <c r="D1" s="1026" t="s">
        <v>541</v>
      </c>
      <c r="E1" s="696"/>
      <c r="F1" s="1027" t="s">
        <v>542</v>
      </c>
      <c r="G1" s="696"/>
      <c r="H1" s="1013" t="s">
        <v>543</v>
      </c>
      <c r="I1" s="1024" t="s">
        <v>544</v>
      </c>
      <c r="J1" s="696"/>
      <c r="K1" s="1029" t="s">
        <v>545</v>
      </c>
      <c r="L1" s="697"/>
      <c r="O1" s="1011" t="s">
        <v>546</v>
      </c>
      <c r="P1" s="671"/>
      <c r="S1" s="107"/>
    </row>
    <row r="2" spans="1:19" ht="15" customHeight="1">
      <c r="A2" s="674"/>
      <c r="B2" s="679"/>
      <c r="C2" s="45"/>
      <c r="D2" s="596" t="s">
        <v>547</v>
      </c>
      <c r="E2" s="596" t="s">
        <v>548</v>
      </c>
      <c r="F2" s="596" t="s">
        <v>547</v>
      </c>
      <c r="G2" s="596" t="s">
        <v>548</v>
      </c>
      <c r="H2" s="679"/>
      <c r="I2" s="596" t="s">
        <v>547</v>
      </c>
      <c r="J2" s="596" t="s">
        <v>548</v>
      </c>
      <c r="K2" s="596" t="s">
        <v>547</v>
      </c>
      <c r="L2" s="46" t="s">
        <v>548</v>
      </c>
      <c r="S2" s="107"/>
    </row>
    <row r="3" spans="1:19" ht="15" customHeight="1">
      <c r="A3" s="1006" t="s">
        <v>264</v>
      </c>
      <c r="B3" s="1006" t="s">
        <v>346</v>
      </c>
      <c r="C3" s="449" t="s">
        <v>549</v>
      </c>
      <c r="D3" s="440" t="e">
        <f>INDEX(Measurements!$A$1:$X$152,(MATCH(C3,(Measurements[MeasurementName]),0)+1),9)</f>
        <v>#REF!</v>
      </c>
      <c r="E3" s="440" t="e">
        <f>INDEX(Measurements!$A$1:$X$152,(MATCH(C3,(Measurements[MeasurementName]),0)+1),10)</f>
        <v>#REF!</v>
      </c>
      <c r="F3" s="638" t="e">
        <f t="shared" ref="F3:F26" si="0">D3/1000000</f>
        <v>#REF!</v>
      </c>
      <c r="G3" s="638" t="e">
        <f t="shared" ref="G3:G26" si="1">E3/1000000</f>
        <v>#REF!</v>
      </c>
      <c r="H3" s="1004" t="e">
        <f>G4/G3</f>
        <v>#REF!</v>
      </c>
      <c r="I3" t="e">
        <f>IF(Q3="x",F3*SQRT(3),F3*1.73)</f>
        <v>#REF!</v>
      </c>
      <c r="J3" t="e">
        <f t="shared" ref="J3:J26" si="2">G3*SQRT(3)</f>
        <v>#REF!</v>
      </c>
      <c r="K3" s="1008" t="e">
        <f>TEXT(I3,"0,0#\ V")</f>
        <v>#REF!</v>
      </c>
      <c r="L3" s="450" t="e">
        <f>TEXT(J3,"0,0#\ V")</f>
        <v>#REF!</v>
      </c>
      <c r="P3" s="361" t="s">
        <v>550</v>
      </c>
      <c r="Q3" s="396" t="e">
        <f>IF(F3*1.73&lt;110.05,"","x")</f>
        <v>#REF!</v>
      </c>
      <c r="S3" s="107"/>
    </row>
    <row r="4" spans="1:19" ht="15" customHeight="1">
      <c r="A4" s="746"/>
      <c r="B4" s="746"/>
      <c r="C4" s="449" t="s">
        <v>551</v>
      </c>
      <c r="D4" s="440" t="e">
        <f>INDEX(Measurements!$A$1:$X$152,(MATCH(C4,(Measurements[MeasurementName]),0)+1),9)</f>
        <v>#REF!</v>
      </c>
      <c r="E4" s="440" t="e">
        <f>INDEX(Measurements!$A$1:$X$152,(MATCH(C4,(Measurements[MeasurementName]),0)+1),10)</f>
        <v>#REF!</v>
      </c>
      <c r="F4" s="638" t="e">
        <f t="shared" si="0"/>
        <v>#REF!</v>
      </c>
      <c r="G4" s="638" t="e">
        <f t="shared" si="1"/>
        <v>#REF!</v>
      </c>
      <c r="H4" s="1003"/>
      <c r="I4" t="e">
        <f t="shared" ref="I4:I10" si="3">F4*SQRT(3)</f>
        <v>#REF!</v>
      </c>
      <c r="J4" t="e">
        <f t="shared" si="2"/>
        <v>#REF!</v>
      </c>
      <c r="K4" s="746"/>
      <c r="L4" s="450" t="e">
        <f t="shared" ref="L4:L11" si="4">TEXT(J4,"0,0#\ V")</f>
        <v>#REF!</v>
      </c>
      <c r="S4" s="107"/>
    </row>
    <row r="5" spans="1:19" ht="15" customHeight="1">
      <c r="A5" s="746"/>
      <c r="B5" s="746"/>
      <c r="C5" s="449" t="s">
        <v>552</v>
      </c>
      <c r="D5" s="440" t="e">
        <f>INDEX(Measurements!$A$1:$X$152,(MATCH(C5,(Measurements[MeasurementName]),0)+1),9)</f>
        <v>#REF!</v>
      </c>
      <c r="E5" s="440" t="e">
        <f>INDEX(Measurements!$A$1:$X$152,(MATCH(C5,(Measurements[MeasurementName]),0)+1),10)</f>
        <v>#REF!</v>
      </c>
      <c r="F5" s="638" t="e">
        <f t="shared" si="0"/>
        <v>#REF!</v>
      </c>
      <c r="G5" s="638" t="e">
        <f t="shared" si="1"/>
        <v>#REF!</v>
      </c>
      <c r="H5" s="1004" t="e">
        <f>G6/G5</f>
        <v>#REF!</v>
      </c>
      <c r="I5" t="e">
        <f t="shared" si="3"/>
        <v>#REF!</v>
      </c>
      <c r="J5" t="e">
        <f t="shared" si="2"/>
        <v>#REF!</v>
      </c>
      <c r="K5" s="1008" t="e">
        <f>TEXT(I3/100,"0,00\ U\c")</f>
        <v>#REF!</v>
      </c>
      <c r="L5" s="450" t="e">
        <f t="shared" si="4"/>
        <v>#REF!</v>
      </c>
      <c r="S5" s="107"/>
    </row>
    <row r="6" spans="1:19" ht="15" customHeight="1">
      <c r="A6" s="746"/>
      <c r="B6" s="746"/>
      <c r="C6" s="449" t="s">
        <v>553</v>
      </c>
      <c r="D6" s="440" t="e">
        <f>INDEX(Measurements!$A$1:$X$152,(MATCH(C6,(Measurements[MeasurementName]),0)+1),9)</f>
        <v>#REF!</v>
      </c>
      <c r="E6" s="440" t="e">
        <f>INDEX(Measurements!$A$1:$X$152,(MATCH(C6,(Measurements[MeasurementName]),0)+1),10)</f>
        <v>#REF!</v>
      </c>
      <c r="F6" s="638" t="e">
        <f t="shared" si="0"/>
        <v>#REF!</v>
      </c>
      <c r="G6" s="638" t="e">
        <f t="shared" si="1"/>
        <v>#REF!</v>
      </c>
      <c r="H6" s="1003"/>
      <c r="I6" t="e">
        <f t="shared" si="3"/>
        <v>#REF!</v>
      </c>
      <c r="J6" t="e">
        <f t="shared" si="2"/>
        <v>#REF!</v>
      </c>
      <c r="K6" s="746"/>
      <c r="L6" s="450" t="e">
        <f t="shared" si="4"/>
        <v>#REF!</v>
      </c>
      <c r="S6" s="107"/>
    </row>
    <row r="7" spans="1:19" ht="15" customHeight="1">
      <c r="A7" s="746"/>
      <c r="B7" s="746"/>
      <c r="C7" s="449" t="s">
        <v>554</v>
      </c>
      <c r="D7" s="440" t="e">
        <f>INDEX(Measurements!$A$1:$X$152,(MATCH(C7,(Measurements[MeasurementName]),0)+1),9)</f>
        <v>#REF!</v>
      </c>
      <c r="E7" s="440" t="e">
        <f>INDEX(Measurements!$A$1:$X$152,(MATCH(C7,(Measurements[MeasurementName]),0)+1),10)</f>
        <v>#REF!</v>
      </c>
      <c r="F7" s="638" t="e">
        <f t="shared" si="0"/>
        <v>#REF!</v>
      </c>
      <c r="G7" s="638" t="e">
        <f t="shared" si="1"/>
        <v>#REF!</v>
      </c>
      <c r="H7" s="1004" t="e">
        <f>G8/G7</f>
        <v>#REF!</v>
      </c>
      <c r="I7" t="e">
        <f t="shared" si="3"/>
        <v>#REF!</v>
      </c>
      <c r="J7" t="e">
        <f t="shared" si="2"/>
        <v>#REF!</v>
      </c>
      <c r="K7" s="450"/>
      <c r="L7" s="450" t="e">
        <f t="shared" si="4"/>
        <v>#REF!</v>
      </c>
      <c r="S7" s="107"/>
    </row>
    <row r="8" spans="1:19" ht="15" customHeight="1">
      <c r="A8" s="746"/>
      <c r="B8" s="746"/>
      <c r="C8" s="449" t="s">
        <v>555</v>
      </c>
      <c r="D8" s="440" t="e">
        <f>INDEX(Measurements!$A$1:$X$152,(MATCH(C8,(Measurements[MeasurementName]),0)+1),9)</f>
        <v>#REF!</v>
      </c>
      <c r="E8" s="440" t="e">
        <f>INDEX(Measurements!$A$1:$X$152,(MATCH(C8,(Measurements[MeasurementName]),0)+1),10)</f>
        <v>#REF!</v>
      </c>
      <c r="F8" s="638" t="e">
        <f t="shared" si="0"/>
        <v>#REF!</v>
      </c>
      <c r="G8" s="638" t="e">
        <f t="shared" si="1"/>
        <v>#REF!</v>
      </c>
      <c r="H8" s="1003"/>
      <c r="I8" t="e">
        <f t="shared" si="3"/>
        <v>#REF!</v>
      </c>
      <c r="J8" t="e">
        <f t="shared" si="2"/>
        <v>#REF!</v>
      </c>
      <c r="K8" s="450"/>
      <c r="L8" s="450" t="e">
        <f t="shared" si="4"/>
        <v>#REF!</v>
      </c>
      <c r="S8" s="107"/>
    </row>
    <row r="9" spans="1:19" ht="15" customHeight="1">
      <c r="A9" s="746"/>
      <c r="B9" s="746"/>
      <c r="C9" s="449" t="s">
        <v>556</v>
      </c>
      <c r="D9" s="440" t="e">
        <f>INDEX(Measurements!$A$1:$X$152,(MATCH(C9,(Measurements[MeasurementName]),0)+1),9)</f>
        <v>#REF!</v>
      </c>
      <c r="E9" s="440" t="e">
        <f>INDEX(Measurements!$A$1:$X$152,(MATCH(C9,(Measurements[MeasurementName]),0)+1),10)</f>
        <v>#REF!</v>
      </c>
      <c r="F9" s="638" t="e">
        <f t="shared" si="0"/>
        <v>#REF!</v>
      </c>
      <c r="G9" s="638" t="e">
        <f t="shared" si="1"/>
        <v>#REF!</v>
      </c>
      <c r="H9" s="1004" t="e">
        <f>G10/G9</f>
        <v>#REF!</v>
      </c>
      <c r="I9" t="e">
        <f t="shared" si="3"/>
        <v>#REF!</v>
      </c>
      <c r="J9" t="e">
        <f t="shared" si="2"/>
        <v>#REF!</v>
      </c>
      <c r="K9" s="450"/>
      <c r="L9" s="450" t="e">
        <f t="shared" si="4"/>
        <v>#REF!</v>
      </c>
      <c r="S9" s="107"/>
    </row>
    <row r="10" spans="1:19" ht="15.75" customHeight="1" thickBot="1">
      <c r="A10" s="746"/>
      <c r="B10" s="746"/>
      <c r="C10" s="449" t="s">
        <v>557</v>
      </c>
      <c r="D10" s="440" t="e">
        <f>INDEX(Measurements!$A$1:$X$152,(MATCH(C10,(Measurements[MeasurementName]),0)+1),9)</f>
        <v>#REF!</v>
      </c>
      <c r="E10" s="440" t="e">
        <f>INDEX(Measurements!$A$1:$X$152,(MATCH(C10,(Measurements[MeasurementName]),0)+1),10)</f>
        <v>#REF!</v>
      </c>
      <c r="F10" s="638" t="e">
        <f t="shared" si="0"/>
        <v>#REF!</v>
      </c>
      <c r="G10" s="638" t="e">
        <f t="shared" si="1"/>
        <v>#REF!</v>
      </c>
      <c r="H10" s="1003"/>
      <c r="I10" t="e">
        <f t="shared" si="3"/>
        <v>#REF!</v>
      </c>
      <c r="J10" t="e">
        <f t="shared" si="2"/>
        <v>#REF!</v>
      </c>
      <c r="K10" s="450"/>
      <c r="L10" s="450" t="e">
        <f t="shared" si="4"/>
        <v>#REF!</v>
      </c>
      <c r="S10" s="107"/>
    </row>
    <row r="11" spans="1:19" ht="15" customHeight="1">
      <c r="A11" s="746"/>
      <c r="B11" s="1021" t="s">
        <v>349</v>
      </c>
      <c r="C11" s="449" t="s">
        <v>558</v>
      </c>
      <c r="D11" s="440" t="e">
        <f>INDEX(Measurements!$A$1:$X$152,(MATCH(C11,(Measurements[MeasurementName]),0)+1),9)</f>
        <v>#REF!</v>
      </c>
      <c r="E11" s="440" t="e">
        <f>INDEX(Measurements!$A$1:$X$152,(MATCH(C11,(Measurements[MeasurementName]),0)+1),10)</f>
        <v>#REF!</v>
      </c>
      <c r="F11" s="639" t="e">
        <f t="shared" si="0"/>
        <v>#REF!</v>
      </c>
      <c r="G11" s="639" t="e">
        <f t="shared" si="1"/>
        <v>#REF!</v>
      </c>
      <c r="H11" s="1016" t="e">
        <f>G12/G11</f>
        <v>#REF!</v>
      </c>
      <c r="I11" s="38" t="e">
        <f>IF(Q3="x",F11*SQRT(3),F11*1.73)</f>
        <v>#REF!</v>
      </c>
      <c r="J11" s="38" t="e">
        <f t="shared" si="2"/>
        <v>#REF!</v>
      </c>
      <c r="K11" s="1008" t="e">
        <f>TEXT(I11,"0,0#\ V")</f>
        <v>#REF!</v>
      </c>
      <c r="L11" s="39" t="e">
        <f t="shared" si="4"/>
        <v>#REF!</v>
      </c>
      <c r="S11" s="107"/>
    </row>
    <row r="12" spans="1:19" ht="15" customHeight="1">
      <c r="A12" s="746"/>
      <c r="B12" s="746"/>
      <c r="C12" s="449" t="s">
        <v>559</v>
      </c>
      <c r="D12" s="440" t="e">
        <f>INDEX(Measurements!$A$1:$X$152,(MATCH(C12,(Measurements[MeasurementName]),0)+1),9)</f>
        <v>#REF!</v>
      </c>
      <c r="E12" s="440" t="e">
        <f>INDEX(Measurements!$A$1:$X$152,(MATCH(C12,(Measurements[MeasurementName]),0)+1),10)</f>
        <v>#REF!</v>
      </c>
      <c r="F12" s="638" t="e">
        <f t="shared" si="0"/>
        <v>#REF!</v>
      </c>
      <c r="G12" s="638" t="e">
        <f t="shared" si="1"/>
        <v>#REF!</v>
      </c>
      <c r="H12" s="1003"/>
      <c r="I12" t="e">
        <f t="shared" ref="I12:I18" si="5">F12*SQRT(3)</f>
        <v>#REF!</v>
      </c>
      <c r="J12" t="e">
        <f t="shared" si="2"/>
        <v>#REF!</v>
      </c>
      <c r="K12" s="746"/>
      <c r="L12" s="450" t="e">
        <f>TEXT(J12,"0,##\ V")</f>
        <v>#REF!</v>
      </c>
      <c r="S12" s="107"/>
    </row>
    <row r="13" spans="1:19" ht="15" customHeight="1">
      <c r="A13" s="746"/>
      <c r="B13" s="746"/>
      <c r="C13" s="449" t="s">
        <v>560</v>
      </c>
      <c r="D13" s="440" t="e">
        <f>INDEX(Measurements!$A$1:$X$152,(MATCH(C13,(Measurements[MeasurementName]),0)+1),9)</f>
        <v>#REF!</v>
      </c>
      <c r="E13" s="440" t="e">
        <f>INDEX(Measurements!$A$1:$X$152,(MATCH(C13,(Measurements[MeasurementName]),0)+1),10)</f>
        <v>#REF!</v>
      </c>
      <c r="F13" s="638" t="e">
        <f t="shared" si="0"/>
        <v>#REF!</v>
      </c>
      <c r="G13" s="638" t="e">
        <f t="shared" si="1"/>
        <v>#REF!</v>
      </c>
      <c r="H13" s="1004" t="e">
        <f>G14/G13</f>
        <v>#REF!</v>
      </c>
      <c r="I13" t="e">
        <f t="shared" si="5"/>
        <v>#REF!</v>
      </c>
      <c r="J13" t="e">
        <f t="shared" si="2"/>
        <v>#REF!</v>
      </c>
      <c r="K13" s="1008" t="e">
        <f>TEXT(I13/100,"0,00\ U\c")</f>
        <v>#REF!</v>
      </c>
      <c r="L13" s="450" t="e">
        <f>TEXT(J13,"0,0#\ V")</f>
        <v>#REF!</v>
      </c>
      <c r="S13" s="107"/>
    </row>
    <row r="14" spans="1:19" ht="15" customHeight="1">
      <c r="A14" s="746"/>
      <c r="B14" s="746"/>
      <c r="C14" s="449" t="s">
        <v>561</v>
      </c>
      <c r="D14" s="440" t="e">
        <f>INDEX(Measurements!$A$1:$X$152,(MATCH(C14,(Measurements[MeasurementName]),0)+1),9)</f>
        <v>#REF!</v>
      </c>
      <c r="E14" s="440" t="e">
        <f>INDEX(Measurements!$A$1:$X$152,(MATCH(C14,(Measurements[MeasurementName]),0)+1),10)</f>
        <v>#REF!</v>
      </c>
      <c r="F14" s="638" t="e">
        <f t="shared" si="0"/>
        <v>#REF!</v>
      </c>
      <c r="G14" s="638" t="e">
        <f t="shared" si="1"/>
        <v>#REF!</v>
      </c>
      <c r="H14" s="1003"/>
      <c r="I14" t="e">
        <f t="shared" si="5"/>
        <v>#REF!</v>
      </c>
      <c r="J14" t="e">
        <f t="shared" si="2"/>
        <v>#REF!</v>
      </c>
      <c r="K14" s="746"/>
      <c r="L14" s="450" t="e">
        <f>TEXT(J14,"0,##\ V")</f>
        <v>#REF!</v>
      </c>
      <c r="S14" s="107"/>
    </row>
    <row r="15" spans="1:19" ht="15" customHeight="1">
      <c r="A15" s="746"/>
      <c r="B15" s="746"/>
      <c r="C15" s="449" t="s">
        <v>562</v>
      </c>
      <c r="D15" s="440" t="e">
        <f>INDEX(Measurements!$A$1:$X$152,(MATCH(C15,(Measurements[MeasurementName]),0)+1),9)</f>
        <v>#REF!</v>
      </c>
      <c r="E15" s="440" t="e">
        <f>INDEX(Measurements!$A$1:$X$152,(MATCH(C15,(Measurements[MeasurementName]),0)+1),10)</f>
        <v>#REF!</v>
      </c>
      <c r="F15" s="638" t="e">
        <f t="shared" si="0"/>
        <v>#REF!</v>
      </c>
      <c r="G15" s="638" t="e">
        <f t="shared" si="1"/>
        <v>#REF!</v>
      </c>
      <c r="H15" s="1004" t="e">
        <f>G16/G15</f>
        <v>#REF!</v>
      </c>
      <c r="I15" t="e">
        <f t="shared" si="5"/>
        <v>#REF!</v>
      </c>
      <c r="J15" t="e">
        <f t="shared" si="2"/>
        <v>#REF!</v>
      </c>
      <c r="K15" s="450"/>
      <c r="L15" s="450" t="e">
        <f>TEXT(J15,"0,0#\ V")</f>
        <v>#REF!</v>
      </c>
      <c r="S15" s="107"/>
    </row>
    <row r="16" spans="1:19" ht="15" customHeight="1">
      <c r="A16" s="746"/>
      <c r="B16" s="746"/>
      <c r="C16" s="449" t="s">
        <v>563</v>
      </c>
      <c r="D16" s="440" t="e">
        <f>INDEX(Measurements!$A$1:$X$152,(MATCH(C16,(Measurements[MeasurementName]),0)+1),9)</f>
        <v>#REF!</v>
      </c>
      <c r="E16" s="440" t="e">
        <f>INDEX(Measurements!$A$1:$X$152,(MATCH(C16,(Measurements[MeasurementName]),0)+1),10)</f>
        <v>#REF!</v>
      </c>
      <c r="F16" s="638" t="e">
        <f t="shared" si="0"/>
        <v>#REF!</v>
      </c>
      <c r="G16" s="638" t="e">
        <f t="shared" si="1"/>
        <v>#REF!</v>
      </c>
      <c r="H16" s="1003"/>
      <c r="I16" t="e">
        <f t="shared" si="5"/>
        <v>#REF!</v>
      </c>
      <c r="J16" t="e">
        <f t="shared" si="2"/>
        <v>#REF!</v>
      </c>
      <c r="K16" s="450"/>
      <c r="L16" s="450" t="e">
        <f>TEXT(J16,"0,##\ V")</f>
        <v>#REF!</v>
      </c>
      <c r="S16" s="107"/>
    </row>
    <row r="17" spans="1:19" ht="15" customHeight="1">
      <c r="A17" s="746"/>
      <c r="B17" s="746"/>
      <c r="C17" s="449" t="s">
        <v>564</v>
      </c>
      <c r="D17" s="440" t="e">
        <f>INDEX(Measurements!$A$1:$X$152,(MATCH(C17,(Measurements[MeasurementName]),0)+1),9)</f>
        <v>#REF!</v>
      </c>
      <c r="E17" s="440" t="e">
        <f>INDEX(Measurements!$A$1:$X$152,(MATCH(C17,(Measurements[MeasurementName]),0)+1),10)</f>
        <v>#REF!</v>
      </c>
      <c r="F17" s="638" t="e">
        <f t="shared" si="0"/>
        <v>#REF!</v>
      </c>
      <c r="G17" s="638" t="e">
        <f t="shared" si="1"/>
        <v>#REF!</v>
      </c>
      <c r="H17" s="1017" t="e">
        <f>G18/G17</f>
        <v>#REF!</v>
      </c>
      <c r="I17" t="e">
        <f t="shared" si="5"/>
        <v>#REF!</v>
      </c>
      <c r="J17" t="e">
        <f t="shared" si="2"/>
        <v>#REF!</v>
      </c>
      <c r="K17" s="450"/>
      <c r="L17" s="450" t="e">
        <f>TEXT(J17,"0,0#\ V")</f>
        <v>#REF!</v>
      </c>
      <c r="S17" s="107"/>
    </row>
    <row r="18" spans="1:19" ht="15.75" customHeight="1" thickBot="1">
      <c r="A18" s="746"/>
      <c r="B18" s="1018"/>
      <c r="C18" s="449" t="s">
        <v>565</v>
      </c>
      <c r="D18" s="440" t="e">
        <f>INDEX(Measurements!$A$1:$X$152,(MATCH(C18,(Measurements[MeasurementName]),0)+1),9)</f>
        <v>#REF!</v>
      </c>
      <c r="E18" s="440" t="e">
        <f>INDEX(Measurements!$A$1:$X$152,(MATCH(C18,(Measurements[MeasurementName]),0)+1),10)</f>
        <v>#REF!</v>
      </c>
      <c r="F18" s="640" t="e">
        <f t="shared" si="0"/>
        <v>#REF!</v>
      </c>
      <c r="G18" s="640" t="e">
        <f t="shared" si="1"/>
        <v>#REF!</v>
      </c>
      <c r="H18" s="1018"/>
      <c r="I18" s="40" t="e">
        <f t="shared" si="5"/>
        <v>#REF!</v>
      </c>
      <c r="J18" s="40" t="e">
        <f t="shared" si="2"/>
        <v>#REF!</v>
      </c>
      <c r="K18" s="41"/>
      <c r="L18" s="41" t="e">
        <f>TEXT(J18,"0,##\ V")</f>
        <v>#REF!</v>
      </c>
      <c r="S18" s="107"/>
    </row>
    <row r="19" spans="1:19" ht="15" customHeight="1">
      <c r="A19" s="746"/>
      <c r="B19" s="1006" t="s">
        <v>304</v>
      </c>
      <c r="C19" s="449" t="s">
        <v>566</v>
      </c>
      <c r="D19" s="440" t="e">
        <f>INDEX(Measurements!$A$1:$X$152,(MATCH(C19,(Measurements[MeasurementName]),0)+1),9)</f>
        <v>#REF!</v>
      </c>
      <c r="E19" s="440" t="e">
        <f>INDEX(Measurements!$A$1:$X$152,(MATCH(C19,(Measurements[MeasurementName]),0)+1),10)</f>
        <v>#REF!</v>
      </c>
      <c r="F19" s="638" t="e">
        <f t="shared" si="0"/>
        <v>#REF!</v>
      </c>
      <c r="G19" s="638" t="e">
        <f t="shared" si="1"/>
        <v>#REF!</v>
      </c>
      <c r="H19" s="1004" t="e">
        <f>G20/G19</f>
        <v>#REF!</v>
      </c>
      <c r="I19" t="e">
        <f>IF(Q3="x",F19*SQRT(3),F19*1.73)</f>
        <v>#REF!</v>
      </c>
      <c r="J19" t="e">
        <f t="shared" si="2"/>
        <v>#REF!</v>
      </c>
      <c r="K19" s="1008" t="e">
        <f>TEXT(I19,"0,0#\ V")</f>
        <v>#REF!</v>
      </c>
      <c r="L19" s="450" t="e">
        <f>TEXT(J19,"0,0#\ V")</f>
        <v>#REF!</v>
      </c>
      <c r="S19" s="107"/>
    </row>
    <row r="20" spans="1:19" ht="15" customHeight="1">
      <c r="A20" s="746"/>
      <c r="B20" s="746"/>
      <c r="C20" s="449" t="s">
        <v>567</v>
      </c>
      <c r="D20" s="440" t="e">
        <f>INDEX(Measurements!$A$1:$X$152,(MATCH(C20,(Measurements[MeasurementName]),0)+1),9)</f>
        <v>#REF!</v>
      </c>
      <c r="E20" s="440" t="e">
        <f>INDEX(Measurements!$A$1:$X$152,(MATCH(C20,(Measurements[MeasurementName]),0)+1),10)</f>
        <v>#REF!</v>
      </c>
      <c r="F20" s="638" t="e">
        <f t="shared" si="0"/>
        <v>#REF!</v>
      </c>
      <c r="G20" s="638" t="e">
        <f t="shared" si="1"/>
        <v>#REF!</v>
      </c>
      <c r="H20" s="1003"/>
      <c r="I20" t="e">
        <f t="shared" ref="I20:I26" si="6">F20*SQRT(3)</f>
        <v>#REF!</v>
      </c>
      <c r="J20" t="e">
        <f t="shared" si="2"/>
        <v>#REF!</v>
      </c>
      <c r="K20" s="746"/>
      <c r="L20" s="450" t="e">
        <f>TEXT(J20,"0,##\ V")</f>
        <v>#REF!</v>
      </c>
      <c r="S20" s="107"/>
    </row>
    <row r="21" spans="1:19" ht="15" customHeight="1">
      <c r="A21" s="746"/>
      <c r="B21" s="746"/>
      <c r="C21" s="449" t="s">
        <v>568</v>
      </c>
      <c r="D21" s="440" t="e">
        <f>INDEX(Measurements!$A$1:$X$152,(MATCH(C21,(Measurements[MeasurementName]),0)+1),9)</f>
        <v>#REF!</v>
      </c>
      <c r="E21" s="440" t="e">
        <f>INDEX(Measurements!$A$1:$X$152,(MATCH(C21,(Measurements[MeasurementName]),0)+1),10)</f>
        <v>#REF!</v>
      </c>
      <c r="F21" s="638" t="e">
        <f t="shared" si="0"/>
        <v>#REF!</v>
      </c>
      <c r="G21" s="638" t="e">
        <f t="shared" si="1"/>
        <v>#REF!</v>
      </c>
      <c r="H21" s="1004" t="e">
        <f>G22/G21</f>
        <v>#REF!</v>
      </c>
      <c r="I21" t="e">
        <f t="shared" si="6"/>
        <v>#REF!</v>
      </c>
      <c r="J21" t="e">
        <f t="shared" si="2"/>
        <v>#REF!</v>
      </c>
      <c r="K21" s="1008" t="e">
        <f>TEXT(I21/100,"0,00\ U\c")</f>
        <v>#REF!</v>
      </c>
      <c r="L21" s="450" t="e">
        <f>TEXT(J21,"0,0#\ V")</f>
        <v>#REF!</v>
      </c>
      <c r="S21" s="107"/>
    </row>
    <row r="22" spans="1:19" ht="15" customHeight="1">
      <c r="A22" s="746"/>
      <c r="B22" s="746"/>
      <c r="C22" s="449" t="s">
        <v>569</v>
      </c>
      <c r="D22" s="440" t="e">
        <f>INDEX(Measurements!$A$1:$X$152,(MATCH(C22,(Measurements[MeasurementName]),0)+1),9)</f>
        <v>#REF!</v>
      </c>
      <c r="E22" s="440" t="e">
        <f>INDEX(Measurements!$A$1:$X$152,(MATCH(C22,(Measurements[MeasurementName]),0)+1),10)</f>
        <v>#REF!</v>
      </c>
      <c r="F22" s="638" t="e">
        <f t="shared" si="0"/>
        <v>#REF!</v>
      </c>
      <c r="G22" s="638" t="e">
        <f t="shared" si="1"/>
        <v>#REF!</v>
      </c>
      <c r="H22" s="1003"/>
      <c r="I22" t="e">
        <f t="shared" si="6"/>
        <v>#REF!</v>
      </c>
      <c r="J22" t="e">
        <f t="shared" si="2"/>
        <v>#REF!</v>
      </c>
      <c r="K22" s="746"/>
      <c r="L22" s="450" t="e">
        <f>TEXT(J22,"0,##\ V")</f>
        <v>#REF!</v>
      </c>
      <c r="S22" s="107"/>
    </row>
    <row r="23" spans="1:19" ht="15" customHeight="1">
      <c r="A23" s="746"/>
      <c r="B23" s="746"/>
      <c r="C23" s="449" t="s">
        <v>570</v>
      </c>
      <c r="D23" s="440" t="e">
        <f>INDEX(Measurements!$A$1:$X$152,(MATCH(C23,(Measurements[MeasurementName]),0)+1),9)</f>
        <v>#REF!</v>
      </c>
      <c r="E23" s="440" t="e">
        <f>INDEX(Measurements!$A$1:$X$152,(MATCH(C23,(Measurements[MeasurementName]),0)+1),10)</f>
        <v>#REF!</v>
      </c>
      <c r="F23" s="638" t="e">
        <f t="shared" si="0"/>
        <v>#REF!</v>
      </c>
      <c r="G23" s="638" t="e">
        <f t="shared" si="1"/>
        <v>#REF!</v>
      </c>
      <c r="H23" s="1004" t="e">
        <f>G24/G23</f>
        <v>#REF!</v>
      </c>
      <c r="I23" t="e">
        <f t="shared" si="6"/>
        <v>#REF!</v>
      </c>
      <c r="J23" t="e">
        <f t="shared" si="2"/>
        <v>#REF!</v>
      </c>
      <c r="K23" s="450"/>
      <c r="L23" s="450" t="e">
        <f>TEXT(J23,"0,0#\ V")</f>
        <v>#REF!</v>
      </c>
      <c r="S23" s="107"/>
    </row>
    <row r="24" spans="1:19" ht="15" customHeight="1">
      <c r="A24" s="746"/>
      <c r="B24" s="746"/>
      <c r="C24" s="449" t="s">
        <v>571</v>
      </c>
      <c r="D24" s="440" t="e">
        <f>INDEX(Measurements!$A$1:$X$152,(MATCH(C24,(Measurements[MeasurementName]),0)+1),9)</f>
        <v>#REF!</v>
      </c>
      <c r="E24" s="440" t="e">
        <f>INDEX(Measurements!$A$1:$X$152,(MATCH(C24,(Measurements[MeasurementName]),0)+1),10)</f>
        <v>#REF!</v>
      </c>
      <c r="F24" s="638" t="e">
        <f t="shared" si="0"/>
        <v>#REF!</v>
      </c>
      <c r="G24" s="638" t="e">
        <f t="shared" si="1"/>
        <v>#REF!</v>
      </c>
      <c r="H24" s="1003"/>
      <c r="I24" t="e">
        <f t="shared" si="6"/>
        <v>#REF!</v>
      </c>
      <c r="J24" t="e">
        <f t="shared" si="2"/>
        <v>#REF!</v>
      </c>
      <c r="K24" s="450"/>
      <c r="L24" s="450" t="e">
        <f>TEXT(J24,"0,##\ V")</f>
        <v>#REF!</v>
      </c>
      <c r="S24" s="107"/>
    </row>
    <row r="25" spans="1:19" ht="15" customHeight="1">
      <c r="A25" s="746"/>
      <c r="B25" s="746"/>
      <c r="C25" s="449" t="s">
        <v>572</v>
      </c>
      <c r="D25" s="440" t="e">
        <f>INDEX(Measurements!$A$1:$X$152,(MATCH(C25,(Measurements[MeasurementName]),0)+1),9)</f>
        <v>#REF!</v>
      </c>
      <c r="E25" s="440" t="e">
        <f>INDEX(Measurements!$A$1:$X$152,(MATCH(C25,(Measurements[MeasurementName]),0)+1),10)</f>
        <v>#REF!</v>
      </c>
      <c r="F25" s="638" t="e">
        <f t="shared" si="0"/>
        <v>#REF!</v>
      </c>
      <c r="G25" s="638" t="e">
        <f t="shared" si="1"/>
        <v>#REF!</v>
      </c>
      <c r="H25" s="1004" t="e">
        <f>G26/G25</f>
        <v>#REF!</v>
      </c>
      <c r="I25" t="e">
        <f t="shared" si="6"/>
        <v>#REF!</v>
      </c>
      <c r="J25" t="e">
        <f t="shared" si="2"/>
        <v>#REF!</v>
      </c>
      <c r="K25" s="450"/>
      <c r="L25" s="450" t="e">
        <f>TEXT(J25,"0,0#\ V")</f>
        <v>#REF!</v>
      </c>
      <c r="S25" s="107"/>
    </row>
    <row r="26" spans="1:19">
      <c r="A26" s="746"/>
      <c r="B26" s="746"/>
      <c r="C26" s="449" t="s">
        <v>573</v>
      </c>
      <c r="D26" s="440" t="e">
        <f>INDEX(Measurements!$A$1:$X$152,(MATCH(C26,(Measurements[MeasurementName]),0)+1),9)</f>
        <v>#REF!</v>
      </c>
      <c r="E26" s="440" t="e">
        <f>INDEX(Measurements!$A$1:$X$152,(MATCH(C26,(Measurements[MeasurementName]),0)+1),10)</f>
        <v>#REF!</v>
      </c>
      <c r="F26" s="638" t="e">
        <f t="shared" si="0"/>
        <v>#REF!</v>
      </c>
      <c r="G26" s="638" t="e">
        <f t="shared" si="1"/>
        <v>#REF!</v>
      </c>
      <c r="H26" s="1003"/>
      <c r="I26" t="e">
        <f t="shared" si="6"/>
        <v>#REF!</v>
      </c>
      <c r="J26" t="e">
        <f t="shared" si="2"/>
        <v>#REF!</v>
      </c>
      <c r="K26" s="450"/>
      <c r="L26" s="450" t="e">
        <f>TEXT(J26,"0,##\ V")</f>
        <v>#REF!</v>
      </c>
    </row>
    <row r="27" spans="1:19" ht="12.75" customHeight="1">
      <c r="A27" s="1006" t="s">
        <v>574</v>
      </c>
      <c r="B27" s="1023" t="s">
        <v>299</v>
      </c>
      <c r="C27" s="449" t="s">
        <v>575</v>
      </c>
      <c r="D27" s="440" t="e">
        <f>INDEX(Measurements!$A$1:$X$152,(MATCH(C27,(Measurements[MeasurementName]),0)+1),9)</f>
        <v>#REF!</v>
      </c>
      <c r="E27" s="440" t="e">
        <f>INDEX(Measurements!$A$1:$X$152,(MATCH(C27,(Measurements[MeasurementName]),0)+1),10)</f>
        <v>#REF!</v>
      </c>
      <c r="F27" s="638" t="str">
        <f>IF(IFERROR(INDEX(Measurements!$A$1:$X$152,(MATCH(C27,(Measurements[MeasurementName]),0)+1),9),),D27/1000000,"-")</f>
        <v>-</v>
      </c>
      <c r="G27" s="638" t="str">
        <f>IF(IFERROR(INDEX(Measurements!$A$1:$X$152,(MATCH(C27,(Measurements[MeasurementName]),0)+1),9),),E27/1000000,"-")</f>
        <v>-</v>
      </c>
      <c r="H27" s="1004" t="e">
        <f>G28/G27</f>
        <v>#VALUE!</v>
      </c>
      <c r="J27" s="638"/>
      <c r="K27" s="1020" t="str">
        <f>TEXT(F27,"0,00\ A")</f>
        <v>-</v>
      </c>
      <c r="L27" s="450" t="str">
        <f t="shared" ref="L27:L54" si="7">IF((G27="-"),"-",TEXT(G27,"0,000\ A"))</f>
        <v>-</v>
      </c>
      <c r="N27" s="1006" t="s">
        <v>576</v>
      </c>
      <c r="O27" s="32" t="s">
        <v>300</v>
      </c>
      <c r="P27" s="32" t="s">
        <v>577</v>
      </c>
    </row>
    <row r="28" spans="1:19">
      <c r="A28" s="746"/>
      <c r="B28" s="746"/>
      <c r="C28" s="449" t="s">
        <v>578</v>
      </c>
      <c r="D28" s="440" t="e">
        <f>INDEX(Measurements!$A$1:$X$152,(MATCH(C28,(Measurements[MeasurementName]),0)+1),9)</f>
        <v>#REF!</v>
      </c>
      <c r="E28" s="440" t="e">
        <f>INDEX(Measurements!$A$1:$X$152,(MATCH(C28,(Measurements[MeasurementName]),0)+1),10)</f>
        <v>#REF!</v>
      </c>
      <c r="F28" s="638" t="str">
        <f>IF(IFERROR(INDEX(Measurements!$A$1:$X$152,(MATCH(C28,(Measurements[MeasurementName]),0)+1),9),),D28/1000000,"-")</f>
        <v>-</v>
      </c>
      <c r="G28" s="638" t="str">
        <f>IF(IFERROR(INDEX(Measurements!$A$1:$X$152,(MATCH(C28,(Measurements[MeasurementName]),0)+1),9),),E28/1000000,"-")</f>
        <v>-</v>
      </c>
      <c r="H28" s="1003"/>
      <c r="J28" s="638"/>
      <c r="K28" s="746"/>
      <c r="L28" s="450" t="str">
        <f t="shared" si="7"/>
        <v>-</v>
      </c>
      <c r="N28" s="746"/>
      <c r="O28" s="32" t="s">
        <v>579</v>
      </c>
      <c r="P28" t="s">
        <v>580</v>
      </c>
    </row>
    <row r="29" spans="1:19">
      <c r="A29" s="746"/>
      <c r="B29" s="746"/>
      <c r="C29" s="449" t="s">
        <v>581</v>
      </c>
      <c r="D29" s="440" t="e">
        <f>INDEX(Measurements!$A$1:$X$152,(MATCH(C29,(Measurements[MeasurementName]),0)+1),9)</f>
        <v>#REF!</v>
      </c>
      <c r="E29" s="440" t="e">
        <f>INDEX(Measurements!$A$1:$X$152,(MATCH(C29,(Measurements[MeasurementName]),0)+1),10)</f>
        <v>#REF!</v>
      </c>
      <c r="F29" s="638" t="str">
        <f>IF(IFERROR(INDEX(Measurements!$A$1:$X$152,(MATCH(C29,(Measurements[MeasurementName]),0)+1),9),),D29/1000000,"-")</f>
        <v>-</v>
      </c>
      <c r="G29" s="638" t="str">
        <f>IF(IFERROR(INDEX(Measurements!$A$1:$X$152,(MATCH(C29,(Measurements[MeasurementName]),0)+1),9),),E29/1000000,"-")</f>
        <v>-</v>
      </c>
      <c r="H29" s="1004" t="e">
        <f>G30/G29</f>
        <v>#VALUE!</v>
      </c>
      <c r="J29" s="638"/>
      <c r="K29" s="746"/>
      <c r="L29" s="450" t="str">
        <f t="shared" si="7"/>
        <v>-</v>
      </c>
      <c r="N29" s="746"/>
      <c r="O29" s="32" t="s">
        <v>582</v>
      </c>
      <c r="P29" s="32" t="s">
        <v>583</v>
      </c>
    </row>
    <row r="30" spans="1:19">
      <c r="A30" s="746"/>
      <c r="B30" s="746"/>
      <c r="C30" s="449" t="s">
        <v>584</v>
      </c>
      <c r="D30" s="440" t="e">
        <f>INDEX(Measurements!$A$1:$X$152,(MATCH(C30,(Measurements[MeasurementName]),0)+1),9)</f>
        <v>#REF!</v>
      </c>
      <c r="E30" s="440" t="e">
        <f>INDEX(Measurements!$A$1:$X$152,(MATCH(C30,(Measurements[MeasurementName]),0)+1),10)</f>
        <v>#REF!</v>
      </c>
      <c r="F30" s="638" t="str">
        <f>IF(IFERROR(INDEX(Measurements!$A$1:$X$152,(MATCH(C30,(Measurements[MeasurementName]),0)+1),9),),D30/1000000,"-")</f>
        <v>-</v>
      </c>
      <c r="G30" s="638" t="str">
        <f>IF(IFERROR(INDEX(Measurements!$A$1:$X$152,(MATCH(C30,(Measurements[MeasurementName]),0)+1),9),),E30/1000000,"-")</f>
        <v>-</v>
      </c>
      <c r="H30" s="1003"/>
      <c r="J30" s="638"/>
      <c r="K30" s="746"/>
      <c r="L30" s="450" t="str">
        <f t="shared" si="7"/>
        <v>-</v>
      </c>
      <c r="N30" s="746"/>
      <c r="P30" s="32" t="s">
        <v>585</v>
      </c>
    </row>
    <row r="31" spans="1:19">
      <c r="A31" s="746"/>
      <c r="B31" s="746"/>
      <c r="C31" s="449" t="s">
        <v>586</v>
      </c>
      <c r="D31" s="440" t="e">
        <f>INDEX(Measurements!$A$1:$X$152,(MATCH(C31,(Measurements[MeasurementName]),0)+1),9)</f>
        <v>#REF!</v>
      </c>
      <c r="E31" s="440" t="e">
        <f>INDEX(Measurements!$A$1:$X$152,(MATCH(C31,(Measurements[MeasurementName]),0)+1),10)</f>
        <v>#REF!</v>
      </c>
      <c r="F31" s="638" t="str">
        <f>IF(IFERROR(INDEX(Measurements!$A$1:$X$152,(MATCH(C31,(Measurements[MeasurementName]),0)+1),9),),D31/1000000,"-")</f>
        <v>-</v>
      </c>
      <c r="G31" s="638" t="str">
        <f>IF(IFERROR(INDEX(Measurements!$A$1:$X$152,(MATCH(C31,(Measurements[MeasurementName]),0)+1),9),),E31/1000000,"-")</f>
        <v>-</v>
      </c>
      <c r="H31" s="1004" t="e">
        <f>G32/G31</f>
        <v>#VALUE!</v>
      </c>
      <c r="J31" s="638"/>
      <c r="K31" s="746"/>
      <c r="L31" s="450" t="str">
        <f t="shared" si="7"/>
        <v>-</v>
      </c>
      <c r="N31" s="746"/>
      <c r="P31" t="s">
        <v>587</v>
      </c>
    </row>
    <row r="32" spans="1:19">
      <c r="A32" s="746"/>
      <c r="B32" s="746"/>
      <c r="C32" s="449" t="s">
        <v>588</v>
      </c>
      <c r="D32" s="440" t="e">
        <f>INDEX(Measurements!$A$1:$X$152,(MATCH(C32,(Measurements[MeasurementName]),0)+1),9)</f>
        <v>#REF!</v>
      </c>
      <c r="E32" s="440" t="e">
        <f>INDEX(Measurements!$A$1:$X$152,(MATCH(C32,(Measurements[MeasurementName]),0)+1),10)</f>
        <v>#REF!</v>
      </c>
      <c r="F32" s="638" t="str">
        <f>IF(IFERROR(INDEX(Measurements!$A$1:$X$152,(MATCH(C32,(Measurements[MeasurementName]),0)+1),9),),D32/1000000,"-")</f>
        <v>-</v>
      </c>
      <c r="G32" s="638" t="str">
        <f>IF(IFERROR(INDEX(Measurements!$A$1:$X$152,(MATCH(C32,(Measurements[MeasurementName]),0)+1),9),),E32/1000000,"-")</f>
        <v>-</v>
      </c>
      <c r="H32" s="1003"/>
      <c r="J32" s="638"/>
      <c r="K32" s="746"/>
      <c r="L32" s="450" t="str">
        <f t="shared" si="7"/>
        <v>-</v>
      </c>
      <c r="N32" s="746"/>
    </row>
    <row r="33" spans="1:14">
      <c r="A33" s="746"/>
      <c r="B33" s="746"/>
      <c r="C33" s="449" t="s">
        <v>589</v>
      </c>
      <c r="D33" s="440" t="e">
        <f>INDEX(Measurements!$A$1:$X$152,(MATCH(C33,(Measurements[MeasurementName]),0)+1),9)</f>
        <v>#REF!</v>
      </c>
      <c r="E33" s="440" t="e">
        <f>INDEX(Measurements!$A$1:$X$152,(MATCH(C33,(Measurements[MeasurementName]),0)+1),10)</f>
        <v>#REF!</v>
      </c>
      <c r="F33" s="638" t="str">
        <f>IF(IFERROR(INDEX(Measurements!$A$1:$X$152,(MATCH(C33,(Measurements[MeasurementName]),0)+1),9),),D33/1000000,"-")</f>
        <v>-</v>
      </c>
      <c r="G33" s="638" t="str">
        <f>IF(IFERROR(INDEX(Measurements!$A$1:$X$152,(MATCH(C33,(Measurements[MeasurementName]),0)+1),9),),E33/1000000,"-")</f>
        <v>-</v>
      </c>
      <c r="H33" s="1007" t="e">
        <f>G34/G33</f>
        <v>#VALUE!</v>
      </c>
      <c r="J33" s="638"/>
      <c r="K33" s="746"/>
      <c r="L33" s="450" t="str">
        <f t="shared" si="7"/>
        <v>-</v>
      </c>
      <c r="N33" s="746"/>
    </row>
    <row r="34" spans="1:14">
      <c r="A34" s="746"/>
      <c r="B34" s="679"/>
      <c r="C34" s="451" t="s">
        <v>590</v>
      </c>
      <c r="D34" s="452" t="e">
        <f>INDEX(Measurements!$A$1:$X$152,(MATCH(C34,(Measurements[MeasurementName]),0)+1),9)</f>
        <v>#REF!</v>
      </c>
      <c r="E34" s="452" t="e">
        <f>INDEX(Measurements!$A$1:$X$152,(MATCH(C34,(Measurements[MeasurementName]),0)+1),10)</f>
        <v>#REF!</v>
      </c>
      <c r="F34" s="641" t="str">
        <f>IF(IFERROR(INDEX(Measurements!$A$1:$X$152,(MATCH(C34,(Measurements[MeasurementName]),0)+1),9),),D34/1000000,"-")</f>
        <v>-</v>
      </c>
      <c r="G34" s="641" t="str">
        <f>IF(IFERROR(INDEX(Measurements!$A$1:$X$152,(MATCH(C34,(Measurements[MeasurementName]),0)+1),9),),E34/1000000,"-")</f>
        <v>-</v>
      </c>
      <c r="H34" s="679"/>
      <c r="I34" s="641"/>
      <c r="J34" s="641"/>
      <c r="K34" s="679"/>
      <c r="L34" s="453" t="str">
        <f t="shared" si="7"/>
        <v>-</v>
      </c>
      <c r="N34" s="746"/>
    </row>
    <row r="35" spans="1:14">
      <c r="A35" s="746"/>
      <c r="B35" s="1023" t="s">
        <v>301</v>
      </c>
      <c r="C35" s="449" t="s">
        <v>591</v>
      </c>
      <c r="D35" s="440" t="e">
        <f>INDEX(Measurements!$A$1:$X$152,(MATCH(C35,(Measurements[MeasurementName]),0)+1),9)</f>
        <v>#REF!</v>
      </c>
      <c r="E35" s="440" t="e">
        <f>INDEX(Measurements!$A$1:$X$152,(MATCH(C35,(Measurements[MeasurementName]),0)+1),10)</f>
        <v>#REF!</v>
      </c>
      <c r="F35" s="638" t="str">
        <f>IF(IFERROR(INDEX(Measurements!$A$1:$X$152,(MATCH(C35,(Measurements[MeasurementName]),0)+1),9),),D35/1000000,"-")</f>
        <v>-</v>
      </c>
      <c r="G35" s="638" t="str">
        <f>IF(IFERROR(INDEX(Measurements!$A$1:$X$152,(MATCH(C35,(Measurements[MeasurementName]),0)+1),9),),E35/1000000,"-")</f>
        <v>-</v>
      </c>
      <c r="H35" s="1004" t="str">
        <f>IF(G35="-", "-",G36/G35)</f>
        <v>-</v>
      </c>
      <c r="J35" s="638"/>
      <c r="K35" s="1020" t="str">
        <f>TEXT(F35,"0,00\ A")</f>
        <v>-</v>
      </c>
      <c r="L35" s="450" t="str">
        <f t="shared" si="7"/>
        <v>-</v>
      </c>
      <c r="N35" s="746"/>
    </row>
    <row r="36" spans="1:14">
      <c r="A36" s="746"/>
      <c r="B36" s="746"/>
      <c r="C36" s="449" t="s">
        <v>592</v>
      </c>
      <c r="D36" s="440" t="e">
        <f>INDEX(Measurements!$A$1:$X$152,(MATCH(C36,(Measurements[MeasurementName]),0)+1),9)</f>
        <v>#REF!</v>
      </c>
      <c r="E36" s="440" t="e">
        <f>INDEX(Measurements!$A$1:$X$152,(MATCH(C36,(Measurements[MeasurementName]),0)+1),10)</f>
        <v>#REF!</v>
      </c>
      <c r="F36" s="638" t="str">
        <f>IF(IFERROR(INDEX(Measurements!$A$1:$X$152,(MATCH(C36,(Measurements[MeasurementName]),0)+1),9),),D36/1000000,"-")</f>
        <v>-</v>
      </c>
      <c r="G36" s="638" t="str">
        <f>IF(IFERROR(INDEX(Measurements!$A$1:$X$152,(MATCH(C36,(Measurements[MeasurementName]),0)+1),9),),E36/1000000,"-")</f>
        <v>-</v>
      </c>
      <c r="H36" s="1003"/>
      <c r="J36" s="638"/>
      <c r="K36" s="746"/>
      <c r="L36" s="450" t="str">
        <f t="shared" si="7"/>
        <v>-</v>
      </c>
      <c r="N36" s="746"/>
    </row>
    <row r="37" spans="1:14">
      <c r="A37" s="746"/>
      <c r="B37" s="746"/>
      <c r="C37" s="449" t="s">
        <v>593</v>
      </c>
      <c r="D37" s="440" t="e">
        <f>INDEX(Measurements!$A$1:$X$152,(MATCH(C37,(Measurements[MeasurementName]),0)+1),9)</f>
        <v>#REF!</v>
      </c>
      <c r="E37" s="440" t="e">
        <f>INDEX(Measurements!$A$1:$X$152,(MATCH(C37,(Measurements[MeasurementName]),0)+1),10)</f>
        <v>#REF!</v>
      </c>
      <c r="F37" s="638" t="str">
        <f>IF(IFERROR(INDEX(Measurements!$A$1:$X$152,(MATCH(C37,(Measurements[MeasurementName]),0)+1),9),),D37/1000000,"-")</f>
        <v>-</v>
      </c>
      <c r="G37" s="638" t="str">
        <f>IF(IFERROR(INDEX(Measurements!$A$1:$X$152,(MATCH(C37,(Measurements[MeasurementName]),0)+1),9),),E37/1000000,"-")</f>
        <v>-</v>
      </c>
      <c r="H37" s="1004" t="str">
        <f>IF(G37="-", "-",G38/G37)</f>
        <v>-</v>
      </c>
      <c r="J37" s="638"/>
      <c r="K37" s="746"/>
      <c r="L37" s="450" t="str">
        <f t="shared" si="7"/>
        <v>-</v>
      </c>
      <c r="N37" s="746"/>
    </row>
    <row r="38" spans="1:14">
      <c r="A38" s="746"/>
      <c r="B38" s="746"/>
      <c r="C38" s="449" t="s">
        <v>594</v>
      </c>
      <c r="D38" s="440" t="e">
        <f>INDEX(Measurements!$A$1:$X$152,(MATCH(C38,(Measurements[MeasurementName]),0)+1),9)</f>
        <v>#REF!</v>
      </c>
      <c r="E38" s="440" t="e">
        <f>INDEX(Measurements!$A$1:$X$152,(MATCH(C38,(Measurements[MeasurementName]),0)+1),10)</f>
        <v>#REF!</v>
      </c>
      <c r="F38" s="638" t="str">
        <f>IF(IFERROR(INDEX(Measurements!$A$1:$X$152,(MATCH(C38,(Measurements[MeasurementName]),0)+1),9),),D38/1000000,"-")</f>
        <v>-</v>
      </c>
      <c r="G38" s="638" t="str">
        <f>IF(IFERROR(INDEX(Measurements!$A$1:$X$152,(MATCH(C38,(Measurements[MeasurementName]),0)+1),9),),E38/1000000,"-")</f>
        <v>-</v>
      </c>
      <c r="H38" s="1003"/>
      <c r="J38" s="638"/>
      <c r="K38" s="746"/>
      <c r="L38" s="450" t="str">
        <f t="shared" si="7"/>
        <v>-</v>
      </c>
      <c r="N38" s="746"/>
    </row>
    <row r="39" spans="1:14">
      <c r="A39" s="746"/>
      <c r="B39" s="746"/>
      <c r="C39" s="449" t="s">
        <v>595</v>
      </c>
      <c r="D39" s="440" t="e">
        <f>INDEX(Measurements!$A$1:$X$152,(MATCH(C39,(Measurements[MeasurementName]),0)+1),9)</f>
        <v>#REF!</v>
      </c>
      <c r="E39" s="440" t="e">
        <f>INDEX(Measurements!$A$1:$X$152,(MATCH(C39,(Measurements[MeasurementName]),0)+1),10)</f>
        <v>#REF!</v>
      </c>
      <c r="F39" s="638" t="str">
        <f>IF(IFERROR(INDEX(Measurements!$A$1:$X$152,(MATCH(C39,(Measurements[MeasurementName]),0)+1),9),),D39/1000000,"-")</f>
        <v>-</v>
      </c>
      <c r="G39" s="638" t="str">
        <f>IF(IFERROR(INDEX(Measurements!$A$1:$X$152,(MATCH(C39,(Measurements[MeasurementName]),0)+1),9),),E39/1000000,"-")</f>
        <v>-</v>
      </c>
      <c r="H39" s="1004" t="str">
        <f>IF(G39="-", "-",G40/G39)</f>
        <v>-</v>
      </c>
      <c r="J39" s="638"/>
      <c r="K39" s="746"/>
      <c r="L39" s="450" t="str">
        <f t="shared" si="7"/>
        <v>-</v>
      </c>
      <c r="N39" s="746"/>
    </row>
    <row r="40" spans="1:14">
      <c r="A40" s="746"/>
      <c r="B40" s="746"/>
      <c r="C40" s="449" t="s">
        <v>596</v>
      </c>
      <c r="D40" s="440" t="e">
        <f>INDEX(Measurements!$A$1:$X$152,(MATCH(C40,(Measurements[MeasurementName]),0)+1),9)</f>
        <v>#REF!</v>
      </c>
      <c r="E40" s="440" t="e">
        <f>INDEX(Measurements!$A$1:$X$152,(MATCH(C40,(Measurements[MeasurementName]),0)+1),10)</f>
        <v>#REF!</v>
      </c>
      <c r="F40" s="638" t="str">
        <f>IF(IFERROR(INDEX(Measurements!$A$1:$X$152,(MATCH(C40,(Measurements[MeasurementName]),0)+1),9),),D40/1000000,"-")</f>
        <v>-</v>
      </c>
      <c r="G40" s="638" t="str">
        <f>IF(IFERROR(INDEX(Measurements!$A$1:$X$152,(MATCH(C40,(Measurements[MeasurementName]),0)+1),9),),E40/1000000,"-")</f>
        <v>-</v>
      </c>
      <c r="H40" s="1003"/>
      <c r="J40" s="638"/>
      <c r="K40" s="746"/>
      <c r="L40" s="450" t="str">
        <f t="shared" si="7"/>
        <v>-</v>
      </c>
      <c r="N40" s="746"/>
    </row>
    <row r="41" spans="1:14">
      <c r="A41" s="746"/>
      <c r="B41" s="746"/>
      <c r="C41" s="449" t="s">
        <v>597</v>
      </c>
      <c r="D41" s="440" t="e">
        <f>INDEX(Measurements!$A$1:$X$152,(MATCH(C41,(Measurements[MeasurementName]),0)+1),9)</f>
        <v>#REF!</v>
      </c>
      <c r="E41" s="440" t="e">
        <f>INDEX(Measurements!$A$1:$X$152,(MATCH(C41,(Measurements[MeasurementName]),0)+1),10)</f>
        <v>#REF!</v>
      </c>
      <c r="F41" s="638" t="str">
        <f>IF(IFERROR(INDEX(Measurements!$A$1:$X$152,(MATCH(C41,(Measurements[MeasurementName]),0)+1),9),),D41/1000000,"-")</f>
        <v>-</v>
      </c>
      <c r="G41" s="638" t="str">
        <f>IF(IFERROR(INDEX(Measurements!$A$1:$X$152,(MATCH(C41,(Measurements[MeasurementName]),0)+1),9),),E41/1000000,"-")</f>
        <v>-</v>
      </c>
      <c r="H41" s="1007" t="str">
        <f>IF(G41="-", "-",G42/G41)</f>
        <v>-</v>
      </c>
      <c r="J41" s="638"/>
      <c r="K41" s="746"/>
      <c r="L41" s="450" t="str">
        <f t="shared" si="7"/>
        <v>-</v>
      </c>
      <c r="N41" s="746"/>
    </row>
    <row r="42" spans="1:14">
      <c r="A42" s="746"/>
      <c r="B42" s="679"/>
      <c r="C42" s="451" t="s">
        <v>598</v>
      </c>
      <c r="D42" s="452" t="e">
        <f>INDEX(Measurements!$A$1:$X$152,(MATCH(C42,(Measurements[MeasurementName]),0)+1),9)</f>
        <v>#REF!</v>
      </c>
      <c r="E42" s="452" t="e">
        <f>INDEX(Measurements!$A$1:$X$152,(MATCH(C42,(Measurements[MeasurementName]),0)+1),10)</f>
        <v>#REF!</v>
      </c>
      <c r="F42" s="641" t="str">
        <f>IF(IFERROR(INDEX(Measurements!$A$1:$X$152,(MATCH(C42,(Measurements[MeasurementName]),0)+1),9),),D42/1000000,"-")</f>
        <v>-</v>
      </c>
      <c r="G42" s="641" t="str">
        <f>IF(IFERROR(INDEX(Measurements!$A$1:$X$152,(MATCH(C42,(Measurements[MeasurementName]),0)+1),9),),E42/1000000,"-")</f>
        <v>-</v>
      </c>
      <c r="H42" s="679"/>
      <c r="I42" s="641"/>
      <c r="J42" s="641"/>
      <c r="K42" s="679"/>
      <c r="L42" s="453" t="str">
        <f t="shared" si="7"/>
        <v>-</v>
      </c>
      <c r="N42" s="746"/>
    </row>
    <row r="43" spans="1:14">
      <c r="A43" s="746"/>
      <c r="B43" s="1009" t="s">
        <v>302</v>
      </c>
      <c r="C43" s="454" t="s">
        <v>599</v>
      </c>
      <c r="D43" s="455" t="e">
        <f>INDEX(Measurements!$A$1:$X$152,(MATCH(C43,(Measurements[MeasurementName]),0)+1),9)</f>
        <v>#REF!</v>
      </c>
      <c r="E43" s="455" t="e">
        <f>INDEX(Measurements!$A$1:$X$152,(MATCH(C43,(Measurements[MeasurementName]),0)+1),10)</f>
        <v>#REF!</v>
      </c>
      <c r="F43" s="642" t="str">
        <f>IF(IFERROR(INDEX(Measurements!$A$1:$X$152,(MATCH(C43,(Measurements[MeasurementName]),0)+1),9),),D43/1000000,"-")</f>
        <v>-</v>
      </c>
      <c r="G43" s="642" t="str">
        <f>IF(IFERROR(INDEX(Measurements!$A$1:$X$152,(MATCH(C43,(Measurements[MeasurementName]),0)+1),9),),E43/1000000,"-")</f>
        <v>-</v>
      </c>
      <c r="H43" s="1004" t="str">
        <f>IF(G43="-", "-",G44/G43)</f>
        <v>-</v>
      </c>
      <c r="I43" s="643"/>
      <c r="J43" s="643"/>
      <c r="K43" s="1012" t="str">
        <f>TEXT(F43,"0,00\ A")</f>
        <v>-</v>
      </c>
      <c r="L43" s="456" t="str">
        <f t="shared" si="7"/>
        <v>-</v>
      </c>
      <c r="N43" s="594"/>
    </row>
    <row r="44" spans="1:14">
      <c r="A44" s="746"/>
      <c r="B44" s="746"/>
      <c r="C44" s="449" t="s">
        <v>600</v>
      </c>
      <c r="D44" s="440" t="e">
        <f>INDEX(Measurements!$A$1:$X$152,(MATCH(C44,(Measurements[MeasurementName]),0)+1),9)</f>
        <v>#REF!</v>
      </c>
      <c r="E44" s="440" t="e">
        <f>INDEX(Measurements!$A$1:$X$152,(MATCH(C44,(Measurements[MeasurementName]),0)+1),10)</f>
        <v>#REF!</v>
      </c>
      <c r="F44" s="638" t="str">
        <f>IF(IFERROR(INDEX(Measurements!$A$1:$X$152,(MATCH(C44,(Measurements[MeasurementName]),0)+1),9),),D44/1000000,"-")</f>
        <v>-</v>
      </c>
      <c r="G44" s="638" t="str">
        <f>IF(IFERROR(INDEX(Measurements!$A$1:$X$152,(MATCH(C44,(Measurements[MeasurementName]),0)+1),9),),E44/1000000,"-")</f>
        <v>-</v>
      </c>
      <c r="H44" s="1003"/>
      <c r="I44" s="644"/>
      <c r="J44" s="644"/>
      <c r="K44" s="746"/>
      <c r="L44" s="450" t="str">
        <f t="shared" si="7"/>
        <v>-</v>
      </c>
      <c r="N44" s="594"/>
    </row>
    <row r="45" spans="1:14">
      <c r="A45" s="746"/>
      <c r="B45" s="746"/>
      <c r="C45" s="449" t="s">
        <v>601</v>
      </c>
      <c r="D45" s="440" t="e">
        <f>INDEX(Measurements!$A$1:$X$152,(MATCH(C45,(Measurements[MeasurementName]),0)+1),9)</f>
        <v>#REF!</v>
      </c>
      <c r="E45" s="440" t="e">
        <f>INDEX(Measurements!$A$1:$X$152,(MATCH(C45,(Measurements[MeasurementName]),0)+1),10)</f>
        <v>#REF!</v>
      </c>
      <c r="F45" s="638" t="str">
        <f>IF(IFERROR(INDEX(Measurements!$A$1:$X$152,(MATCH(C45,(Measurements[MeasurementName]),0)+1),9),),D45/1000000,"-")</f>
        <v>-</v>
      </c>
      <c r="G45" s="638" t="str">
        <f>IF(IFERROR(INDEX(Measurements!$A$1:$X$152,(MATCH(C45,(Measurements[MeasurementName]),0)+1),9),),E45/1000000,"-")</f>
        <v>-</v>
      </c>
      <c r="H45" s="1004" t="str">
        <f>IF(G45="-", "-",G46/G45)</f>
        <v>-</v>
      </c>
      <c r="I45" s="644"/>
      <c r="J45" s="644"/>
      <c r="K45" s="746"/>
      <c r="L45" s="450" t="str">
        <f t="shared" si="7"/>
        <v>-</v>
      </c>
      <c r="N45" s="594"/>
    </row>
    <row r="46" spans="1:14">
      <c r="A46" s="746"/>
      <c r="B46" s="746"/>
      <c r="C46" s="449" t="s">
        <v>602</v>
      </c>
      <c r="D46" s="440" t="e">
        <f>INDEX(Measurements!$A$1:$X$152,(MATCH(C46,(Measurements[MeasurementName]),0)+1),9)</f>
        <v>#REF!</v>
      </c>
      <c r="E46" s="440" t="e">
        <f>INDEX(Measurements!$A$1:$X$152,(MATCH(C46,(Measurements[MeasurementName]),0)+1),10)</f>
        <v>#REF!</v>
      </c>
      <c r="F46" s="638" t="str">
        <f>IF(IFERROR(INDEX(Measurements!$A$1:$X$152,(MATCH(C46,(Measurements[MeasurementName]),0)+1),9),),D46/1000000,"-")</f>
        <v>-</v>
      </c>
      <c r="G46" s="638" t="str">
        <f>IF(IFERROR(INDEX(Measurements!$A$1:$X$152,(MATCH(C46,(Measurements[MeasurementName]),0)+1),9),),E46/1000000,"-")</f>
        <v>-</v>
      </c>
      <c r="H46" s="1003"/>
      <c r="I46" s="644"/>
      <c r="J46" s="644"/>
      <c r="K46" s="746"/>
      <c r="L46" s="450" t="str">
        <f t="shared" si="7"/>
        <v>-</v>
      </c>
      <c r="N46" s="594"/>
    </row>
    <row r="47" spans="1:14">
      <c r="A47" s="746"/>
      <c r="B47" s="746"/>
      <c r="C47" s="449" t="s">
        <v>603</v>
      </c>
      <c r="D47" s="440" t="e">
        <f>INDEX(Measurements!$A$1:$X$152,(MATCH(C47,(Measurements[MeasurementName]),0)+1),9)</f>
        <v>#REF!</v>
      </c>
      <c r="E47" s="440" t="e">
        <f>INDEX(Measurements!$A$1:$X$152,(MATCH(C47,(Measurements[MeasurementName]),0)+1),10)</f>
        <v>#REF!</v>
      </c>
      <c r="F47" s="638" t="str">
        <f>IF(IFERROR(INDEX(Measurements!$A$1:$X$152,(MATCH(C47,(Measurements[MeasurementName]),0)+1),9),),D47/1000000,"-")</f>
        <v>-</v>
      </c>
      <c r="G47" s="638" t="str">
        <f>IF(IFERROR(INDEX(Measurements!$A$1:$X$152,(MATCH(C47,(Measurements[MeasurementName]),0)+1),9),),E47/1000000,"-")</f>
        <v>-</v>
      </c>
      <c r="H47" s="1007" t="str">
        <f>IF(G47="-", "-",G48/G47)</f>
        <v>-</v>
      </c>
      <c r="I47" s="644"/>
      <c r="J47" s="644"/>
      <c r="K47" s="746"/>
      <c r="L47" s="450" t="str">
        <f t="shared" si="7"/>
        <v>-</v>
      </c>
      <c r="N47" s="594"/>
    </row>
    <row r="48" spans="1:14">
      <c r="A48" s="746"/>
      <c r="B48" s="679"/>
      <c r="C48" s="451" t="s">
        <v>604</v>
      </c>
      <c r="D48" s="452" t="e">
        <f>INDEX(Measurements!$A$1:$X$152,(MATCH(C48,(Measurements[MeasurementName]),0)+1),9)</f>
        <v>#REF!</v>
      </c>
      <c r="E48" s="452" t="e">
        <f>INDEX(Measurements!$A$1:$X$152,(MATCH(C48,(Measurements[MeasurementName]),0)+1),10)</f>
        <v>#REF!</v>
      </c>
      <c r="F48" s="641" t="str">
        <f>IF(IFERROR(INDEX(Measurements!$A$1:$X$152,(MATCH(C48,(Measurements[MeasurementName]),0)+1),9),),D48/1000000,"-")</f>
        <v>-</v>
      </c>
      <c r="G48" s="641" t="str">
        <f>IF(IFERROR(INDEX(Measurements!$A$1:$X$152,(MATCH(C48,(Measurements[MeasurementName]),0)+1),9),),E48/1000000,"-")</f>
        <v>-</v>
      </c>
      <c r="H48" s="679"/>
      <c r="I48" s="645"/>
      <c r="J48" s="645"/>
      <c r="K48" s="679"/>
      <c r="L48" s="453" t="str">
        <f t="shared" si="7"/>
        <v>-</v>
      </c>
      <c r="N48" s="594"/>
    </row>
    <row r="49" spans="1:14">
      <c r="A49" s="746"/>
      <c r="B49" s="1009" t="s">
        <v>303</v>
      </c>
      <c r="C49" s="454" t="s">
        <v>605</v>
      </c>
      <c r="D49" s="455" t="e">
        <f>INDEX(Measurements!$A$1:$X$152,(MATCH(C49,(Measurements[MeasurementName]),0)+1),9)</f>
        <v>#REF!</v>
      </c>
      <c r="E49" s="455" t="e">
        <f>INDEX(Measurements!$A$1:$X$152,(MATCH(C49,(Measurements[MeasurementName]),0)+1),10)</f>
        <v>#REF!</v>
      </c>
      <c r="F49" s="642" t="str">
        <f>IF(IFERROR(INDEX(Measurements!$A$1:$X$152,(MATCH(C49,(Measurements[MeasurementName]),0)+1),9),),D49/1000000,"-")</f>
        <v>-</v>
      </c>
      <c r="G49" s="642" t="str">
        <f>IF(IFERROR(INDEX(Measurements!$A$1:$X$152,(MATCH(C49,(Measurements[MeasurementName]),0)+1),9),),E49/1000000,"-")</f>
        <v>-</v>
      </c>
      <c r="H49" s="1004" t="str">
        <f>IF(G49="-", "-",G50/G49)</f>
        <v>-</v>
      </c>
      <c r="I49" s="643"/>
      <c r="J49" s="643"/>
      <c r="K49" s="1012" t="str">
        <f>TEXT(F49,"0,00\ A")</f>
        <v>-</v>
      </c>
      <c r="L49" s="456" t="str">
        <f t="shared" si="7"/>
        <v>-</v>
      </c>
      <c r="N49" s="594"/>
    </row>
    <row r="50" spans="1:14">
      <c r="A50" s="746"/>
      <c r="B50" s="746"/>
      <c r="C50" s="449" t="s">
        <v>606</v>
      </c>
      <c r="D50" s="440" t="e">
        <f>INDEX(Measurements!$A$1:$X$152,(MATCH(C50,(Measurements[MeasurementName]),0)+1),9)</f>
        <v>#REF!</v>
      </c>
      <c r="E50" s="440" t="e">
        <f>INDEX(Measurements!$A$1:$X$152,(MATCH(C50,(Measurements[MeasurementName]),0)+1),10)</f>
        <v>#REF!</v>
      </c>
      <c r="F50" s="638" t="str">
        <f>IF(IFERROR(INDEX(Measurements!$A$1:$X$152,(MATCH(C50,(Measurements[MeasurementName]),0)+1),9),),D50/1000000,"-")</f>
        <v>-</v>
      </c>
      <c r="G50" s="638" t="str">
        <f>IF(IFERROR(INDEX(Measurements!$A$1:$X$152,(MATCH(C50,(Measurements[MeasurementName]),0)+1),9),),E50/1000000,"-")</f>
        <v>-</v>
      </c>
      <c r="H50" s="1003"/>
      <c r="I50" s="644"/>
      <c r="J50" s="644"/>
      <c r="K50" s="746"/>
      <c r="L50" s="450" t="str">
        <f t="shared" si="7"/>
        <v>-</v>
      </c>
      <c r="N50" s="594"/>
    </row>
    <row r="51" spans="1:14">
      <c r="A51" s="746"/>
      <c r="B51" s="746"/>
      <c r="C51" s="449" t="s">
        <v>607</v>
      </c>
      <c r="D51" s="440" t="e">
        <f>INDEX(Measurements!$A$1:$X$152,(MATCH(C51,(Measurements[MeasurementName]),0)+1),9)</f>
        <v>#REF!</v>
      </c>
      <c r="E51" s="440" t="e">
        <f>INDEX(Measurements!$A$1:$X$152,(MATCH(C51,(Measurements[MeasurementName]),0)+1),10)</f>
        <v>#REF!</v>
      </c>
      <c r="F51" s="638" t="str">
        <f>IF(IFERROR(INDEX(Measurements!$A$1:$X$152,(MATCH(C51,(Measurements[MeasurementName]),0)+1),9),),D51/1000000,"-")</f>
        <v>-</v>
      </c>
      <c r="G51" s="638" t="str">
        <f>IF(IFERROR(INDEX(Measurements!$A$1:$X$152,(MATCH(C51,(Measurements[MeasurementName]),0)+1),9),),E51/1000000,"-")</f>
        <v>-</v>
      </c>
      <c r="H51" s="1004" t="str">
        <f>IF(G51="-", "-",G52/G51)</f>
        <v>-</v>
      </c>
      <c r="I51" s="644"/>
      <c r="J51" s="644"/>
      <c r="K51" s="746"/>
      <c r="L51" s="450" t="str">
        <f t="shared" si="7"/>
        <v>-</v>
      </c>
      <c r="N51" s="594"/>
    </row>
    <row r="52" spans="1:14">
      <c r="A52" s="746"/>
      <c r="B52" s="746"/>
      <c r="C52" s="449" t="s">
        <v>608</v>
      </c>
      <c r="D52" s="440" t="e">
        <f>INDEX(Measurements!$A$1:$X$152,(MATCH(C52,(Measurements[MeasurementName]),0)+1),9)</f>
        <v>#REF!</v>
      </c>
      <c r="E52" s="440" t="e">
        <f>INDEX(Measurements!$A$1:$X$152,(MATCH(C52,(Measurements[MeasurementName]),0)+1),10)</f>
        <v>#REF!</v>
      </c>
      <c r="F52" s="638" t="str">
        <f>IF(IFERROR(INDEX(Measurements!$A$1:$X$152,(MATCH(C52,(Measurements[MeasurementName]),0)+1),9),),D52/1000000,"-")</f>
        <v>-</v>
      </c>
      <c r="G52" s="638" t="str">
        <f>IF(IFERROR(INDEX(Measurements!$A$1:$X$152,(MATCH(C52,(Measurements[MeasurementName]),0)+1),9),),E52/1000000,"-")</f>
        <v>-</v>
      </c>
      <c r="H52" s="1003"/>
      <c r="I52" s="644"/>
      <c r="J52" s="644"/>
      <c r="K52" s="746"/>
      <c r="L52" s="450" t="str">
        <f t="shared" si="7"/>
        <v>-</v>
      </c>
      <c r="N52" s="594"/>
    </row>
    <row r="53" spans="1:14">
      <c r="A53" s="746"/>
      <c r="B53" s="746"/>
      <c r="C53" s="449" t="s">
        <v>609</v>
      </c>
      <c r="D53" s="440" t="e">
        <f>INDEX(Measurements!$A$1:$X$152,(MATCH(C53,(Measurements[MeasurementName]),0)+1),9)</f>
        <v>#REF!</v>
      </c>
      <c r="E53" s="440" t="e">
        <f>INDEX(Measurements!$A$1:$X$152,(MATCH(C53,(Measurements[MeasurementName]),0)+1),10)</f>
        <v>#REF!</v>
      </c>
      <c r="F53" s="638" t="str">
        <f>IF(IFERROR(INDEX(Measurements!$A$1:$X$152,(MATCH(C53,(Measurements[MeasurementName]),0)+1),9),),D53/1000000,"-")</f>
        <v>-</v>
      </c>
      <c r="G53" s="638" t="str">
        <f>IF(IFERROR(INDEX(Measurements!$A$1:$X$152,(MATCH(C53,(Measurements[MeasurementName]),0)+1),9),),E53/1000000,"-")</f>
        <v>-</v>
      </c>
      <c r="H53" s="1007" t="str">
        <f>IF(G53="-", "-",G54/G53)</f>
        <v>-</v>
      </c>
      <c r="I53" s="644"/>
      <c r="J53" s="644"/>
      <c r="K53" s="746"/>
      <c r="L53" s="450" t="str">
        <f t="shared" si="7"/>
        <v>-</v>
      </c>
      <c r="N53" s="594"/>
    </row>
    <row r="54" spans="1:14">
      <c r="A54" s="746"/>
      <c r="B54" s="679"/>
      <c r="C54" s="451" t="s">
        <v>610</v>
      </c>
      <c r="D54" s="452" t="e">
        <f>INDEX(Measurements!$A$1:$X$152,(MATCH(C54,(Measurements[MeasurementName]),0)+1),9)</f>
        <v>#REF!</v>
      </c>
      <c r="E54" s="452" t="e">
        <f>INDEX(Measurements!$A$1:$X$152,(MATCH(C54,(Measurements[MeasurementName]),0)+1),10)</f>
        <v>#REF!</v>
      </c>
      <c r="F54" s="641" t="str">
        <f>IF(IFERROR(INDEX(Measurements!$A$1:$X$152,(MATCH(C54,(Measurements[MeasurementName]),0)+1),9),),D54/1000000,"-")</f>
        <v>-</v>
      </c>
      <c r="G54" s="641" t="str">
        <f>IF(IFERROR(INDEX(Measurements!$A$1:$X$152,(MATCH(C54,(Measurements[MeasurementName]),0)+1),9),),E54/1000000,"-")</f>
        <v>-</v>
      </c>
      <c r="H54" s="679"/>
      <c r="I54" s="645"/>
      <c r="J54" s="645"/>
      <c r="K54" s="679"/>
      <c r="L54" s="453" t="str">
        <f t="shared" si="7"/>
        <v>-</v>
      </c>
      <c r="N54" s="594"/>
    </row>
    <row r="55" spans="1:14" ht="12.75" customHeight="1">
      <c r="A55" s="1006" t="s">
        <v>306</v>
      </c>
      <c r="B55" s="1006" t="s">
        <v>304</v>
      </c>
      <c r="C55" s="449" t="s">
        <v>611</v>
      </c>
      <c r="D55" s="440" t="e">
        <f>INDEX(Measurements!$A$1:$X$152,(MATCH(C55,(Measurements[MeasurementName]),0)+1),9)</f>
        <v>#REF!</v>
      </c>
      <c r="E55" s="440" t="e">
        <f>INDEX(Measurements!$A$1:$X$152,(MATCH(C55,(Measurements[MeasurementName]),0)+1),10)</f>
        <v>#REF!</v>
      </c>
      <c r="F55" s="638" t="str">
        <f>IF(IFERROR(INDEX(Measurements!$A$1:$X$152,(MATCH(C55,(Measurements[MeasurementName]),0)+1),9),),D55/1000000,"-")</f>
        <v>-</v>
      </c>
      <c r="G55" s="638" t="str">
        <f>IF(IFERROR(INDEX(Measurements!$A$1:$X$152,(MATCH(C55,(Measurements[MeasurementName]),0)+1),9),),E55/1000000,"-")</f>
        <v>-</v>
      </c>
      <c r="H55" s="1015" t="e">
        <f>G56/G55</f>
        <v>#VALUE!</v>
      </c>
      <c r="I55" s="646"/>
      <c r="J55" s="1005"/>
      <c r="K55" s="450" t="str">
        <f>TEXT(F55,"#,0#\ V")</f>
        <v>-</v>
      </c>
      <c r="L55" s="450" t="str">
        <f>IF((G55="-"),"-",TEXT(G55,"#,###\ V"))</f>
        <v>-</v>
      </c>
    </row>
    <row r="56" spans="1:14">
      <c r="A56" s="746"/>
      <c r="B56" s="746"/>
      <c r="C56" s="449" t="s">
        <v>612</v>
      </c>
      <c r="D56" s="440" t="e">
        <f>INDEX(Measurements!$A$1:$X$152,(MATCH(C56,(Measurements[MeasurementName]),0)+1),9)</f>
        <v>#REF!</v>
      </c>
      <c r="E56" s="440" t="e">
        <f>INDEX(Measurements!$A$1:$X$152,(MATCH(C56,(Measurements[MeasurementName]),0)+1),10)</f>
        <v>#REF!</v>
      </c>
      <c r="F56" s="638" t="str">
        <f>IF(IFERROR(INDEX(Measurements!$A$1:$X$152,(MATCH(C56,(Measurements[MeasurementName]),0)+1),9),),D56/1000000,"-")</f>
        <v>-</v>
      </c>
      <c r="G56" s="638" t="str">
        <f>IF(IFERROR(INDEX(Measurements!$A$1:$X$152,(MATCH(C56,(Measurements[MeasurementName]),0)+1),9),),E56/1000000,"-")</f>
        <v>-</v>
      </c>
      <c r="H56" s="1003"/>
      <c r="I56" s="646"/>
      <c r="J56" s="746"/>
      <c r="K56" s="450" t="str">
        <f>TEXT(F56,"#,0#\ V")</f>
        <v>-</v>
      </c>
      <c r="L56" s="450" t="str">
        <f>IF((G56="-"),"-",TEXT(G56,"#,###\ V"))</f>
        <v>-</v>
      </c>
    </row>
    <row r="57" spans="1:14">
      <c r="A57" s="746"/>
      <c r="B57" s="1006" t="s">
        <v>313</v>
      </c>
      <c r="C57" s="449" t="s">
        <v>613</v>
      </c>
      <c r="D57" s="440" t="e">
        <f>INDEX(Measurements!$A$1:$X$152,(MATCH(C57,(Measurements[MeasurementName]),0)+1),9)</f>
        <v>#REF!</v>
      </c>
      <c r="E57" s="440" t="e">
        <f>INDEX(Measurements!$A$1:$X$152,(MATCH(C57,(Measurements[MeasurementName]),0)+1),10)</f>
        <v>#REF!</v>
      </c>
      <c r="F57" s="638" t="str">
        <f>IF(IFERROR(INDEX(Measurements!$A$1:$X$152,(MATCH(C57,(Measurements[MeasurementName]),0)+1),9),),D57/1000000,"-")</f>
        <v>-</v>
      </c>
      <c r="G57" s="638" t="str">
        <f>IF(IFERROR(INDEX(Measurements!$A$1:$X$152,(MATCH(C57,(Measurements[MeasurementName]),0)+1),9),),E57/1000000,"-")</f>
        <v>-</v>
      </c>
      <c r="I57" s="644"/>
      <c r="J57" s="1005"/>
      <c r="K57" s="450" t="str">
        <f>TEXT(F57,"0,0#\ A")</f>
        <v>-</v>
      </c>
      <c r="L57" s="450" t="str">
        <f>IF((G57="-"),"-",TEXT(G57,"0,000\ A"))</f>
        <v>-</v>
      </c>
    </row>
    <row r="58" spans="1:14">
      <c r="A58" s="746"/>
      <c r="B58" s="746"/>
      <c r="C58" s="449" t="s">
        <v>614</v>
      </c>
      <c r="D58" s="440" t="e">
        <f>INDEX(Measurements!$A$1:$X$152,(MATCH(C58,(Measurements[MeasurementName]),0)+1),9)</f>
        <v>#REF!</v>
      </c>
      <c r="E58" s="440" t="e">
        <f>INDEX(Measurements!$A$1:$X$152,(MATCH(C58,(Measurements[MeasurementName]),0)+1),10)</f>
        <v>#REF!</v>
      </c>
      <c r="F58" s="638" t="str">
        <f>IF(IFERROR(INDEX(Measurements!$A$1:$X$152,(MATCH(C58,(Measurements[MeasurementName]),0)+1),9),),D58/1000000,"-")</f>
        <v>-</v>
      </c>
      <c r="G58" s="638" t="str">
        <f>IF(IFERROR(INDEX(Measurements!$A$1:$X$152,(MATCH(C58,(Measurements[MeasurementName]),0)+1),9),),E58/1000000,"-")</f>
        <v>-</v>
      </c>
      <c r="I58" s="644"/>
      <c r="J58" s="746"/>
      <c r="K58" s="450" t="str">
        <f>TEXT(F58,"0,0#\ A")</f>
        <v>-</v>
      </c>
      <c r="L58" s="450" t="str">
        <f>IF((G58="-"),"-",TEXT(G58,"0,000\ A"))</f>
        <v>-</v>
      </c>
    </row>
    <row r="59" spans="1:14">
      <c r="A59" s="746"/>
      <c r="B59" s="1006" t="s">
        <v>615</v>
      </c>
      <c r="C59" s="449" t="s">
        <v>616</v>
      </c>
      <c r="D59" s="440" t="e">
        <f>INDEX(Measurements!$A$1:$X$152,(MATCH(C59,(Measurements[MeasurementName]),0)+1),9)</f>
        <v>#REF!</v>
      </c>
      <c r="E59" s="440" t="e">
        <f>INDEX(Measurements!$A$1:$X$152,(MATCH(C59,(Measurements[MeasurementName]),0)+1),10)</f>
        <v>#REF!</v>
      </c>
      <c r="F59" s="638" t="str">
        <f>IF(IFERROR(INDEX(Measurements!$A$1:$X$152,(MATCH(C59,(Measurements[MeasurementName]),0)+1),9),),D59/1000000,"-")</f>
        <v>-</v>
      </c>
      <c r="G59" s="638" t="str">
        <f>IF(IFERROR(INDEX(Measurements!$A$1:$X$152,(MATCH(C59,(Measurements[MeasurementName]),0)+1),9),),E59/1000000,"-")</f>
        <v>-</v>
      </c>
      <c r="I59" s="644"/>
      <c r="J59" s="1005"/>
      <c r="K59" s="1008" t="str">
        <f>TEXT(F59,"#,0#\ var")</f>
        <v>-</v>
      </c>
      <c r="L59" s="450" t="str">
        <f>IF((G59="-"),"-",TEXT(G59,"#,000\ var"))</f>
        <v>-</v>
      </c>
    </row>
    <row r="60" spans="1:14">
      <c r="A60" s="746"/>
      <c r="B60" s="746"/>
      <c r="C60" s="449" t="s">
        <v>617</v>
      </c>
      <c r="D60" s="440" t="e">
        <f>INDEX(Measurements!$A$1:$X$152,(MATCH(C60,(Measurements[MeasurementName]),0)+1),9)</f>
        <v>#REF!</v>
      </c>
      <c r="E60" s="440" t="e">
        <f>INDEX(Measurements!$A$1:$X$152,(MATCH(C60,(Measurements[MeasurementName]),0)+1),10)</f>
        <v>#REF!</v>
      </c>
      <c r="F60" s="638" t="str">
        <f>IF(IFERROR(INDEX(Measurements!$A$1:$X$152,(MATCH(C60,(Measurements[MeasurementName]),0)+1),9),),D60/1000000,"-")</f>
        <v>-</v>
      </c>
      <c r="G60" s="638" t="str">
        <f>IF(IFERROR(INDEX(Measurements!$A$1:$X$152,(MATCH(C60,(Measurements[MeasurementName]),0)+1),9),),E60/1000000,"-")</f>
        <v>-</v>
      </c>
      <c r="I60" s="644"/>
      <c r="J60" s="746"/>
      <c r="K60" s="746"/>
      <c r="L60" s="450" t="str">
        <f>IF((G60="-"),"-",TEXT(G60,"#,000\ var"))</f>
        <v>-</v>
      </c>
    </row>
    <row r="61" spans="1:14">
      <c r="A61" s="746"/>
      <c r="B61" s="746"/>
      <c r="C61" s="449" t="s">
        <v>618</v>
      </c>
      <c r="D61" s="440" t="e">
        <f>INDEX(Measurements!$A$1:$X$152,(MATCH(C61,(Measurements[MeasurementName]),0)+1),9)</f>
        <v>#REF!</v>
      </c>
      <c r="E61" s="440" t="e">
        <f>INDEX(Measurements!$A$1:$X$152,(MATCH(C61,(Measurements[MeasurementName]),0)+1),10)</f>
        <v>#REF!</v>
      </c>
      <c r="F61" s="638" t="str">
        <f>IF(IFERROR(INDEX(Measurements!$A$1:$X$152,(MATCH(C61,(Measurements[MeasurementName]),0)+1),9),),D61/1000000,"-")</f>
        <v>-</v>
      </c>
      <c r="G61" s="638" t="str">
        <f>IF(IFERROR(INDEX(Measurements!$A$1:$X$152,(MATCH(C61,(Measurements[MeasurementName]),0)+1),9),),E61/1000000,"-")</f>
        <v>-</v>
      </c>
      <c r="I61" s="644"/>
      <c r="J61" s="746"/>
      <c r="K61" s="746"/>
      <c r="L61" s="450" t="str">
        <f>IF((G61="-"),"-",TEXT(G61,"#,000\ var"))</f>
        <v>-</v>
      </c>
    </row>
    <row r="62" spans="1:14">
      <c r="A62" s="746"/>
      <c r="B62" s="746"/>
      <c r="C62" s="449" t="s">
        <v>619</v>
      </c>
      <c r="D62" s="440" t="e">
        <f>INDEX(Measurements!$A$1:$X$152,(MATCH(C62,(Measurements[MeasurementName]),0)+1),9)</f>
        <v>#REF!</v>
      </c>
      <c r="E62" s="440" t="e">
        <f>INDEX(Measurements!$A$1:$X$152,(MATCH(C62,(Measurements[MeasurementName]),0)+1),10)</f>
        <v>#REF!</v>
      </c>
      <c r="F62" s="638" t="str">
        <f>IF(IFERROR(INDEX(Measurements!$A$1:$X$152,(MATCH(C62,(Measurements[MeasurementName]),0)+1),9),),D62/1000000,"-")</f>
        <v>-</v>
      </c>
      <c r="G62" s="638" t="str">
        <f>IF(IFERROR(INDEX(Measurements!$A$1:$X$152,(MATCH(C62,(Measurements[MeasurementName]),0)+1),9),),E62/1000000,"-")</f>
        <v>-</v>
      </c>
      <c r="I62" s="644"/>
      <c r="J62" s="746"/>
      <c r="K62" s="746"/>
      <c r="L62" s="450" t="str">
        <f>IF((G62="-"),"-",TEXT(G62,"#,000\ var"))</f>
        <v>-</v>
      </c>
    </row>
    <row r="63" spans="1:14">
      <c r="A63" s="746"/>
      <c r="B63" s="1006" t="s">
        <v>620</v>
      </c>
      <c r="C63" s="449" t="s">
        <v>621</v>
      </c>
      <c r="D63" s="440" t="e">
        <f>INDEX(Measurements!$A$1:$X$152,(MATCH(C63,(Measurements[MeasurementName]),0)+1),9)</f>
        <v>#REF!</v>
      </c>
      <c r="E63" s="440" t="e">
        <f>INDEX(Measurements!$A$1:$X$152,(MATCH(C63,(Measurements[MeasurementName]),0)+1),10)</f>
        <v>#REF!</v>
      </c>
      <c r="F63" s="638" t="str">
        <f>IF(IFERROR(INDEX(Measurements!$A$1:$X$152,(MATCH(C63,(Measurements[MeasurementName]),0)+1),9),),D63/1000000,"-")</f>
        <v>-</v>
      </c>
      <c r="G63" s="638" t="str">
        <f>IF(IFERROR(INDEX(Measurements!$A$1:$X$152,(MATCH(C63,(Measurements[MeasurementName]),0)+1),9),),E63/1000000,"-")</f>
        <v>-</v>
      </c>
      <c r="I63" s="644"/>
      <c r="J63" s="598"/>
      <c r="K63" s="1008" t="str">
        <f>TEXT(F63,"#,0#\ °")</f>
        <v>-</v>
      </c>
      <c r="L63" s="450" t="str">
        <f>IF((G63="-"),"-",TEXT(G63,"#,0\ °"))</f>
        <v>-</v>
      </c>
    </row>
    <row r="64" spans="1:14">
      <c r="A64" s="746"/>
      <c r="B64" s="746"/>
      <c r="C64" s="449" t="s">
        <v>622</v>
      </c>
      <c r="D64" s="440" t="e">
        <f>INDEX(Measurements!$A$1:$X$152,(MATCH(C64,(Measurements[MeasurementName]),0)+1),9)</f>
        <v>#REF!</v>
      </c>
      <c r="E64" s="440" t="e">
        <f>INDEX(Measurements!$A$1:$X$152,(MATCH(C64,(Measurements[MeasurementName]),0)+1),10)</f>
        <v>#REF!</v>
      </c>
      <c r="F64" s="638" t="str">
        <f>IF(IFERROR(INDEX(Measurements!$A$1:$X$152,(MATCH(C64,(Measurements[MeasurementName]),0)+1),9),),D64/1000000,"-")</f>
        <v>-</v>
      </c>
      <c r="G64" s="638" t="str">
        <f>IF(IFERROR(INDEX(Measurements!$A$1:$X$152,(MATCH(C64,(Measurements[MeasurementName]),0)+1),9),),E64/1000000,"-")</f>
        <v>-</v>
      </c>
      <c r="I64" s="644"/>
      <c r="J64" s="598"/>
      <c r="K64" s="746"/>
      <c r="L64" s="450" t="str">
        <f>IF((G64="-"),"-",TEXT(G64,"#,0\ °"))</f>
        <v>-</v>
      </c>
    </row>
    <row r="65" spans="1:16">
      <c r="A65" s="746"/>
      <c r="B65" s="746"/>
      <c r="C65" s="449" t="s">
        <v>623</v>
      </c>
      <c r="D65" s="440" t="e">
        <f>INDEX(Measurements!$A$1:$X$152,(MATCH(C65,(Measurements[MeasurementName]),0)+1),9)</f>
        <v>#REF!</v>
      </c>
      <c r="E65" s="440" t="e">
        <f>INDEX(Measurements!$A$1:$X$152,(MATCH(C65,(Measurements[MeasurementName]),0)+1),10)</f>
        <v>#REF!</v>
      </c>
      <c r="F65" s="638" t="str">
        <f>IF(IFERROR(INDEX(Measurements!$A$1:$X$152,(MATCH(C65,(Measurements[MeasurementName]),0)+1),9),),D65/1000000,"-")</f>
        <v>-</v>
      </c>
      <c r="G65" s="638" t="str">
        <f>IF(IFERROR(INDEX(Measurements!$A$1:$X$152,(MATCH(C65,(Measurements[MeasurementName]),0)+1),9),),E65/1000000,"-")</f>
        <v>-</v>
      </c>
      <c r="I65" s="644"/>
      <c r="J65" s="598"/>
      <c r="K65" s="1008" t="str">
        <f>TEXT(F65,"#,0#\ °")</f>
        <v>-</v>
      </c>
      <c r="L65" s="450" t="str">
        <f>IF((G65="-"),"-",TEXT(G65,"#,0\ °"))</f>
        <v>-</v>
      </c>
    </row>
    <row r="66" spans="1:16">
      <c r="A66" s="746"/>
      <c r="B66" s="746"/>
      <c r="C66" s="449" t="s">
        <v>624</v>
      </c>
      <c r="D66" s="440" t="e">
        <f>INDEX(Measurements!$A$1:$X$152,(MATCH(C66,(Measurements[MeasurementName]),0)+1),9)</f>
        <v>#REF!</v>
      </c>
      <c r="E66" s="440" t="e">
        <f>INDEX(Measurements!$A$1:$X$152,(MATCH(C66,(Measurements[MeasurementName]),0)+1),10)</f>
        <v>#REF!</v>
      </c>
      <c r="F66" s="638" t="str">
        <f>IF(IFERROR(INDEX(Measurements!$A$1:$X$152,(MATCH(C66,(Measurements[MeasurementName]),0)+1),9),),D66/1000000,"-")</f>
        <v>-</v>
      </c>
      <c r="G66" s="638" t="str">
        <f>IF(IFERROR(INDEX(Measurements!$A$1:$X$152,(MATCH(C66,(Measurements[MeasurementName]),0)+1),9),),E66/1000000,"-")</f>
        <v>-</v>
      </c>
      <c r="I66" s="644"/>
      <c r="J66" s="598"/>
      <c r="K66" s="746"/>
      <c r="L66" s="450" t="str">
        <f>IF((G66="-"),"-",TEXT(G66,"#,0\ °"))</f>
        <v>-</v>
      </c>
    </row>
    <row r="67" spans="1:16">
      <c r="A67" s="1006" t="s">
        <v>625</v>
      </c>
      <c r="B67" s="1006" t="s">
        <v>409</v>
      </c>
      <c r="C67" s="449" t="s">
        <v>626</v>
      </c>
      <c r="D67" s="440" t="e">
        <f>INDEX(Measurements!$A$1:$X$152,(MATCH(C67,(Measurements[MeasurementName]),0)+1),9)</f>
        <v>#REF!</v>
      </c>
      <c r="E67" s="440" t="e">
        <f>INDEX(Measurements!$A$1:$X$152,(MATCH(C67,(Measurements[MeasurementName]),0)+1),10)</f>
        <v>#REF!</v>
      </c>
      <c r="F67" s="638" t="str">
        <f>IF(IFERROR(INDEX(Measurements!$A$1:$X$152,(MATCH(C67,(Measurements[MeasurementName]),0)+1),9),),D67/1000000,"-")</f>
        <v>-</v>
      </c>
      <c r="G67" s="638" t="str">
        <f>IF(IFERROR(INDEX(Measurements!$A$1:$X$152,(MATCH(C67,(Measurements[MeasurementName]),0)+1),9),),E67/1000000,"-")</f>
        <v>-</v>
      </c>
      <c r="I67" s="647" t="e">
        <f t="shared" ref="I67:J70" si="8">ROUND(F67,3)</f>
        <v>#VALUE!</v>
      </c>
      <c r="J67" s="647" t="e">
        <f t="shared" si="8"/>
        <v>#VALUE!</v>
      </c>
      <c r="K67" s="1019" t="e">
        <f>I67&amp;" Hz"</f>
        <v>#VALUE!</v>
      </c>
      <c r="L67" s="450" t="str">
        <f>IF((G67="-"),"-",TEXT(G67,"#,###\ \H\z"))</f>
        <v>-</v>
      </c>
    </row>
    <row r="68" spans="1:16">
      <c r="A68" s="746"/>
      <c r="B68" s="746"/>
      <c r="C68" s="449" t="s">
        <v>627</v>
      </c>
      <c r="D68" s="440" t="e">
        <f>INDEX(Measurements!$A$1:$X$152,(MATCH(C68,(Measurements[MeasurementName]),0)+1),9)</f>
        <v>#REF!</v>
      </c>
      <c r="E68" s="440" t="e">
        <f>INDEX(Measurements!$A$1:$X$152,(MATCH(C68,(Measurements[MeasurementName]),0)+1),10)</f>
        <v>#REF!</v>
      </c>
      <c r="F68" s="638" t="str">
        <f>IF(IFERROR(INDEX(Measurements!$A$1:$X$152,(MATCH(C68,(Measurements[MeasurementName]),0)+1),9),),D68/1000000,"-")</f>
        <v>-</v>
      </c>
      <c r="G68" s="638" t="str">
        <f>IF(IFERROR(INDEX(Measurements!$A$1:$X$152,(MATCH(C68,(Measurements[MeasurementName]),0)+1),9),),E68/1000000,"-")</f>
        <v>-</v>
      </c>
      <c r="I68" s="647" t="e">
        <f t="shared" si="8"/>
        <v>#VALUE!</v>
      </c>
      <c r="J68" s="647" t="e">
        <f t="shared" si="8"/>
        <v>#VALUE!</v>
      </c>
      <c r="K68" s="746"/>
      <c r="L68" s="450" t="str">
        <f>IF((G68="-"),"-",TEXT(G68,"#,###\ \H\z"))</f>
        <v>-</v>
      </c>
    </row>
    <row r="69" spans="1:16">
      <c r="A69" s="746"/>
      <c r="B69" s="1006" t="s">
        <v>410</v>
      </c>
      <c r="C69" s="449" t="s">
        <v>628</v>
      </c>
      <c r="D69" s="440" t="e">
        <f>INDEX(Measurements!$A$1:$X$152,(MATCH(C69,(Measurements[MeasurementName]),0)+1),9)</f>
        <v>#REF!</v>
      </c>
      <c r="E69" s="440" t="e">
        <f>INDEX(Measurements!$A$1:$X$152,(MATCH(C69,(Measurements[MeasurementName]),0)+1),10)</f>
        <v>#REF!</v>
      </c>
      <c r="F69" s="638" t="str">
        <f>IF(IFERROR(INDEX(Measurements!$A$1:$X$152,(MATCH(C69,(Measurements[MeasurementName]),0)+1),9),),D69/1000000,"-")</f>
        <v>-</v>
      </c>
      <c r="G69" s="638" t="str">
        <f>IF(IFERROR(INDEX(Measurements!$A$1:$X$152,(MATCH(C69,(Measurements[MeasurementName]),0)+1),9),),E69/1000000,"-")</f>
        <v>-</v>
      </c>
      <c r="I69" s="647" t="e">
        <f t="shared" si="8"/>
        <v>#VALUE!</v>
      </c>
      <c r="J69" s="647" t="e">
        <f t="shared" si="8"/>
        <v>#VALUE!</v>
      </c>
      <c r="K69" s="1019" t="e">
        <f>I69&amp;" Hz"</f>
        <v>#VALUE!</v>
      </c>
      <c r="L69" s="450" t="str">
        <f>IF((G69="-"),"-",TEXT(G69,"#,###\ \H\z"))</f>
        <v>-</v>
      </c>
    </row>
    <row r="70" spans="1:16">
      <c r="A70" s="746"/>
      <c r="B70" s="746"/>
      <c r="C70" s="449" t="s">
        <v>629</v>
      </c>
      <c r="D70" s="440" t="e">
        <f>INDEX(Measurements!$A$1:$X$152,(MATCH(C70,(Measurements[MeasurementName]),0)+1),9)</f>
        <v>#REF!</v>
      </c>
      <c r="E70" s="440" t="e">
        <f>INDEX(Measurements!$A$1:$X$152,(MATCH(C70,(Measurements[MeasurementName]),0)+1),10)</f>
        <v>#REF!</v>
      </c>
      <c r="F70" s="638" t="str">
        <f>IF(IFERROR(INDEX(Measurements!$A$1:$X$152,(MATCH(C70,(Measurements[MeasurementName]),0)+1),9),),D70/1000000,"-")</f>
        <v>-</v>
      </c>
      <c r="G70" s="638" t="str">
        <f>IF(IFERROR(INDEX(Measurements!$A$1:$X$152,(MATCH(C70,(Measurements[MeasurementName]),0)+1),9),),E70/1000000,"-")</f>
        <v>-</v>
      </c>
      <c r="I70" s="647" t="e">
        <f t="shared" si="8"/>
        <v>#VALUE!</v>
      </c>
      <c r="J70" s="647" t="e">
        <f t="shared" si="8"/>
        <v>#VALUE!</v>
      </c>
      <c r="K70" s="746"/>
      <c r="L70" s="450" t="str">
        <f>IF((G70="-"),"-",TEXT(G70,"#,###\ \H\z"))</f>
        <v>-</v>
      </c>
    </row>
    <row r="71" spans="1:16">
      <c r="A71" s="595"/>
      <c r="B71" s="595"/>
      <c r="C71" s="449"/>
      <c r="D71" s="440"/>
      <c r="E71" s="440"/>
      <c r="F71" s="638"/>
      <c r="I71" s="647"/>
      <c r="J71" s="647"/>
      <c r="K71" s="648"/>
      <c r="L71" s="450"/>
    </row>
    <row r="72" spans="1:16">
      <c r="A72" s="595"/>
      <c r="B72" s="595"/>
      <c r="C72" s="449"/>
      <c r="D72" s="440"/>
      <c r="E72" s="440"/>
      <c r="F72" s="638"/>
      <c r="I72" s="647"/>
      <c r="J72" s="647"/>
      <c r="K72" s="648"/>
      <c r="L72" s="450"/>
    </row>
    <row r="73" spans="1:16">
      <c r="A73" s="595"/>
      <c r="B73" s="595"/>
      <c r="C73" s="449"/>
      <c r="D73" s="440"/>
      <c r="E73" s="440"/>
      <c r="F73" s="638"/>
      <c r="I73" s="647"/>
      <c r="J73" s="647"/>
      <c r="K73" s="648"/>
      <c r="L73" s="450"/>
    </row>
    <row r="74" spans="1:16">
      <c r="A74" s="595"/>
      <c r="B74" s="595"/>
      <c r="C74" s="449"/>
      <c r="D74" s="440"/>
      <c r="E74" s="440"/>
      <c r="F74" s="638"/>
      <c r="I74" s="647"/>
      <c r="J74" s="647"/>
      <c r="K74" s="648"/>
      <c r="L74" s="450"/>
    </row>
    <row r="75" spans="1:16">
      <c r="A75" s="595"/>
      <c r="B75" s="595"/>
      <c r="C75" s="449"/>
      <c r="D75" s="440"/>
      <c r="E75" s="440"/>
      <c r="F75" s="638"/>
      <c r="I75" s="647"/>
      <c r="J75" s="647"/>
      <c r="K75" s="648"/>
      <c r="L75" s="450"/>
    </row>
    <row r="76" spans="1:16">
      <c r="C76" s="449"/>
      <c r="D76" s="34"/>
      <c r="E76" s="42"/>
      <c r="F76" s="42"/>
      <c r="I76" s="644"/>
    </row>
    <row r="77" spans="1:16">
      <c r="A77" s="47"/>
      <c r="B77" s="47"/>
      <c r="C77" s="48"/>
      <c r="D77" s="47"/>
      <c r="E77" s="47"/>
      <c r="F77" s="47"/>
      <c r="G77" s="649"/>
      <c r="H77" s="649"/>
      <c r="I77" s="650"/>
      <c r="J77" s="47"/>
      <c r="K77" s="47"/>
      <c r="L77" s="47"/>
    </row>
    <row r="78" spans="1:16" ht="25.5" customHeight="1">
      <c r="A78" s="1006" t="s">
        <v>264</v>
      </c>
      <c r="B78" s="1006" t="s">
        <v>346</v>
      </c>
      <c r="C78" s="49" t="s">
        <v>630</v>
      </c>
      <c r="D78" s="440" t="e">
        <f>INDEX(Seq_Measurement!$A$1:$BE$241,(MATCH(C78,Seq_Measurement!D:D,0)+0),8)</f>
        <v>#N/A</v>
      </c>
      <c r="E78" s="440" t="e">
        <f>INDEX(Seq_Measurement!$A$1:$Y$250,(MATCH(C78,Seq_Measurement!D:D,0)+0),11)</f>
        <v>#N/A</v>
      </c>
      <c r="F78" s="638" t="e">
        <f t="shared" ref="F78:F89" si="9">D78/10000</f>
        <v>#N/A</v>
      </c>
      <c r="G78" s="638" t="e">
        <f t="shared" ref="G78:G89" si="10">E78/10000</f>
        <v>#N/A</v>
      </c>
      <c r="H78" s="1014"/>
      <c r="I78" s="1003"/>
      <c r="J78" s="746"/>
      <c r="K78" s="1008" t="e">
        <f>TEXT(F78,"0,0# \s")</f>
        <v>#N/A</v>
      </c>
      <c r="L78" s="450" t="e">
        <f>TEXT(G78,"0,0# \s")</f>
        <v>#N/A</v>
      </c>
      <c r="P78" s="51" t="s">
        <v>631</v>
      </c>
    </row>
    <row r="79" spans="1:16" ht="25.5" customHeight="1">
      <c r="A79" s="746"/>
      <c r="B79" s="746"/>
      <c r="C79" s="50" t="s">
        <v>632</v>
      </c>
      <c r="D79" s="440" t="e">
        <f>INDEX(Seq_Measurement!$A$1:$BE$241,(MATCH(C79,Seq_Measurement!D:D,0)+0),8)</f>
        <v>#N/A</v>
      </c>
      <c r="E79" s="440" t="e">
        <f>INDEX(Seq_Measurement!$A$1:$Y$250,(MATCH(C79,Seq_Measurement!D:D,0)+0),11)</f>
        <v>#N/A</v>
      </c>
      <c r="F79" s="638" t="e">
        <f t="shared" si="9"/>
        <v>#N/A</v>
      </c>
      <c r="G79" s="638" t="e">
        <f t="shared" si="10"/>
        <v>#N/A</v>
      </c>
      <c r="H79" s="1003"/>
      <c r="I79" s="1003"/>
      <c r="J79" s="746"/>
      <c r="K79" s="746"/>
      <c r="L79" s="450" t="e">
        <f>TEXT(G79,"0,0# \s")</f>
        <v>#N/A</v>
      </c>
      <c r="P79" s="51" t="s">
        <v>633</v>
      </c>
    </row>
    <row r="80" spans="1:16" ht="25.5" customHeight="1">
      <c r="A80" s="746"/>
      <c r="B80" s="746"/>
      <c r="C80" s="49" t="s">
        <v>634</v>
      </c>
      <c r="D80" s="440" t="e">
        <f>INDEX(Seq_Measurement!$A$1:$BE$241,(MATCH(C80,Seq_Measurement!D:D,0)+0),8)</f>
        <v>#N/A</v>
      </c>
      <c r="E80" s="440" t="e">
        <f>INDEX(Seq_Measurement!$A$1:$Y$250,(MATCH(C80,Seq_Measurement!D:D,0)+0),11)</f>
        <v>#N/A</v>
      </c>
      <c r="F80" s="638" t="e">
        <f t="shared" si="9"/>
        <v>#N/A</v>
      </c>
      <c r="G80" s="638" t="e">
        <f t="shared" si="10"/>
        <v>#N/A</v>
      </c>
      <c r="H80" s="1003"/>
      <c r="I80" s="1003"/>
      <c r="J80" s="746"/>
      <c r="K80" s="746"/>
      <c r="L80" s="450" t="e">
        <f>TEXT(G80,"0,0# \s")</f>
        <v>#N/A</v>
      </c>
      <c r="P80" s="51" t="s">
        <v>635</v>
      </c>
    </row>
    <row r="81" spans="1:16" ht="38.25" customHeight="1">
      <c r="A81" s="746"/>
      <c r="B81" s="746"/>
      <c r="C81" s="50" t="s">
        <v>636</v>
      </c>
      <c r="D81" s="440" t="e">
        <f>INDEX(Seq_Measurement!$A$1:$BE$241,(MATCH(C81,Seq_Measurement!D:D,0)+0),8)</f>
        <v>#N/A</v>
      </c>
      <c r="E81" s="440" t="e">
        <f>INDEX(Seq_Measurement!$A$1:$Y$250,(MATCH(C81,Seq_Measurement!D:D,0)+0),11)</f>
        <v>#N/A</v>
      </c>
      <c r="F81" s="638" t="e">
        <f t="shared" si="9"/>
        <v>#N/A</v>
      </c>
      <c r="G81" s="638" t="e">
        <f t="shared" si="10"/>
        <v>#N/A</v>
      </c>
      <c r="H81" s="1003"/>
      <c r="I81" s="1003"/>
      <c r="J81" s="746"/>
      <c r="K81" s="746"/>
      <c r="L81" s="450" t="e">
        <f>TEXT(G81,"0,0# \s")</f>
        <v>#N/A</v>
      </c>
      <c r="P81" s="51" t="s">
        <v>637</v>
      </c>
    </row>
    <row r="82" spans="1:16" ht="25.5" customHeight="1">
      <c r="A82" s="746"/>
      <c r="B82" s="1006" t="s">
        <v>349</v>
      </c>
      <c r="C82" s="49" t="s">
        <v>638</v>
      </c>
      <c r="D82" s="440" t="e">
        <f>INDEX(Seq_Measurement!$A$1:$BE$241,(MATCH(C82,Seq_Measurement!D:D,0)+0),8)</f>
        <v>#N/A</v>
      </c>
      <c r="E82" s="440" t="e">
        <f>INDEX(Seq_Measurement!$A$1:$Y$250,(MATCH(C82,Seq_Measurement!D:D,0)+0),11)</f>
        <v>#N/A</v>
      </c>
      <c r="F82" s="638" t="e">
        <f t="shared" si="9"/>
        <v>#N/A</v>
      </c>
      <c r="G82" s="638" t="e">
        <f t="shared" si="10"/>
        <v>#N/A</v>
      </c>
      <c r="H82" s="1003"/>
      <c r="I82" s="1003"/>
      <c r="J82" s="746"/>
      <c r="K82" s="1008" t="e">
        <f>TEXT(F82,"0,0# \s")</f>
        <v>#N/A</v>
      </c>
      <c r="L82" s="450" t="e">
        <f t="shared" ref="L82:L89" si="11">TEXT(G82,"0,#00 \s")</f>
        <v>#N/A</v>
      </c>
      <c r="P82" s="51" t="s">
        <v>639</v>
      </c>
    </row>
    <row r="83" spans="1:16" ht="25.5" customHeight="1">
      <c r="A83" s="746"/>
      <c r="B83" s="746"/>
      <c r="C83" s="50" t="s">
        <v>640</v>
      </c>
      <c r="D83" s="440" t="e">
        <f>INDEX(Seq_Measurement!$A$1:$BE$241,(MATCH(C83,Seq_Measurement!D:D,0)+0),8)</f>
        <v>#N/A</v>
      </c>
      <c r="E83" s="440" t="e">
        <f>INDEX(Seq_Measurement!$A$1:$Y$250,(MATCH(C83,Seq_Measurement!D:D,0)+0),11)</f>
        <v>#N/A</v>
      </c>
      <c r="F83" s="638" t="e">
        <f t="shared" si="9"/>
        <v>#N/A</v>
      </c>
      <c r="G83" s="638" t="e">
        <f t="shared" si="10"/>
        <v>#N/A</v>
      </c>
      <c r="H83" s="1003"/>
      <c r="I83" s="1003"/>
      <c r="J83" s="746"/>
      <c r="K83" s="746"/>
      <c r="L83" s="450" t="e">
        <f t="shared" si="11"/>
        <v>#N/A</v>
      </c>
      <c r="P83" s="51" t="s">
        <v>641</v>
      </c>
    </row>
    <row r="84" spans="1:16" ht="25.5" customHeight="1">
      <c r="A84" s="746"/>
      <c r="B84" s="746"/>
      <c r="C84" s="49" t="s">
        <v>642</v>
      </c>
      <c r="D84" s="440" t="e">
        <f>INDEX(Seq_Measurement!$A$1:$BE$241,(MATCH(C84,Seq_Measurement!D:D,0)+0),8)</f>
        <v>#N/A</v>
      </c>
      <c r="E84" s="440" t="e">
        <f>INDEX(Seq_Measurement!$A$1:$Y$250,(MATCH(C84,Seq_Measurement!D:D,0)+0),11)</f>
        <v>#N/A</v>
      </c>
      <c r="F84" s="638" t="e">
        <f t="shared" si="9"/>
        <v>#N/A</v>
      </c>
      <c r="G84" s="638" t="e">
        <f t="shared" si="10"/>
        <v>#N/A</v>
      </c>
      <c r="H84" s="1003"/>
      <c r="I84" s="1003"/>
      <c r="J84" s="746"/>
      <c r="K84" s="746"/>
      <c r="L84" s="450" t="e">
        <f t="shared" si="11"/>
        <v>#N/A</v>
      </c>
      <c r="P84" s="51" t="s">
        <v>643</v>
      </c>
    </row>
    <row r="85" spans="1:16" ht="38.25" customHeight="1">
      <c r="A85" s="746"/>
      <c r="B85" s="746"/>
      <c r="C85" s="50" t="s">
        <v>644</v>
      </c>
      <c r="D85" s="440" t="e">
        <f>INDEX(Seq_Measurement!$A$1:$BE$241,(MATCH(C85,Seq_Measurement!D:D,0)+0),8)</f>
        <v>#N/A</v>
      </c>
      <c r="E85" s="440" t="e">
        <f>INDEX(Seq_Measurement!$A$1:$Y$250,(MATCH(C85,Seq_Measurement!D:D,0)+0),11)</f>
        <v>#N/A</v>
      </c>
      <c r="F85" s="638" t="e">
        <f t="shared" si="9"/>
        <v>#N/A</v>
      </c>
      <c r="G85" s="638" t="e">
        <f t="shared" si="10"/>
        <v>#N/A</v>
      </c>
      <c r="H85" s="1003"/>
      <c r="I85" s="1003"/>
      <c r="J85" s="746"/>
      <c r="K85" s="746"/>
      <c r="L85" s="450" t="e">
        <f t="shared" si="11"/>
        <v>#N/A</v>
      </c>
      <c r="P85" s="51" t="s">
        <v>645</v>
      </c>
    </row>
    <row r="86" spans="1:16" ht="25.5" customHeight="1">
      <c r="A86" s="746"/>
      <c r="B86" s="1006" t="s">
        <v>304</v>
      </c>
      <c r="C86" s="49" t="s">
        <v>646</v>
      </c>
      <c r="D86" s="440" t="e">
        <f>INDEX(Seq_Measurement!$A$1:$BE$241,(MATCH(C86,Seq_Measurement!D:D,0)+0),8)</f>
        <v>#N/A</v>
      </c>
      <c r="E86" s="440" t="e">
        <f>INDEX(Seq_Measurement!$A$1:$Y$250,(MATCH(C86,Seq_Measurement!D:D,0)+0),11)</f>
        <v>#N/A</v>
      </c>
      <c r="F86" s="638" t="e">
        <f t="shared" si="9"/>
        <v>#N/A</v>
      </c>
      <c r="G86" s="638" t="e">
        <f t="shared" si="10"/>
        <v>#N/A</v>
      </c>
      <c r="H86" s="1003"/>
      <c r="I86" s="1003"/>
      <c r="J86" s="746"/>
      <c r="K86" s="1008" t="e">
        <f>TEXT(F86,"#,0# \s")</f>
        <v>#N/A</v>
      </c>
      <c r="L86" s="450" t="e">
        <f t="shared" si="11"/>
        <v>#N/A</v>
      </c>
      <c r="P86" s="51" t="s">
        <v>647</v>
      </c>
    </row>
    <row r="87" spans="1:16">
      <c r="A87" s="746"/>
      <c r="B87" s="746"/>
      <c r="C87" s="50" t="s">
        <v>648</v>
      </c>
      <c r="D87" s="440" t="e">
        <f>INDEX(Seq_Measurement!$A$1:$BE$241,(MATCH(C87,Seq_Measurement!D:D,0)+0),8)</f>
        <v>#N/A</v>
      </c>
      <c r="E87" s="440" t="e">
        <f>INDEX(Seq_Measurement!$A$1:$Y$250,(MATCH(C87,Seq_Measurement!D:D,0)+0),11)</f>
        <v>#N/A</v>
      </c>
      <c r="F87" s="638" t="e">
        <f t="shared" si="9"/>
        <v>#N/A</v>
      </c>
      <c r="G87" s="638" t="e">
        <f t="shared" si="10"/>
        <v>#N/A</v>
      </c>
      <c r="H87" s="1003"/>
      <c r="I87" s="1003"/>
      <c r="J87" s="746"/>
      <c r="K87" s="746"/>
      <c r="L87" s="450" t="e">
        <f t="shared" si="11"/>
        <v>#N/A</v>
      </c>
    </row>
    <row r="88" spans="1:16">
      <c r="A88" s="746"/>
      <c r="B88" s="746"/>
      <c r="C88" s="49" t="s">
        <v>649</v>
      </c>
      <c r="D88" s="440" t="e">
        <f>INDEX(Seq_Measurement!$A$1:$BE$241,(MATCH(C88,Seq_Measurement!D:D,0)+0),8)</f>
        <v>#N/A</v>
      </c>
      <c r="E88" s="440" t="e">
        <f>INDEX(Seq_Measurement!$A$1:$Y$250,(MATCH(C88,Seq_Measurement!D:D,0)+0),11)</f>
        <v>#N/A</v>
      </c>
      <c r="F88" s="638" t="e">
        <f t="shared" si="9"/>
        <v>#N/A</v>
      </c>
      <c r="G88" s="638" t="e">
        <f t="shared" si="10"/>
        <v>#N/A</v>
      </c>
      <c r="H88" s="1003"/>
      <c r="I88" s="1003"/>
      <c r="J88" s="746"/>
      <c r="K88" s="746"/>
      <c r="L88" s="450" t="e">
        <f t="shared" si="11"/>
        <v>#N/A</v>
      </c>
    </row>
    <row r="89" spans="1:16">
      <c r="A89" s="746"/>
      <c r="B89" s="746"/>
      <c r="C89" s="50" t="s">
        <v>650</v>
      </c>
      <c r="D89" s="440" t="e">
        <f>INDEX(Seq_Measurement!$A$1:$BE$241,(MATCH(C89,Seq_Measurement!D:D,0)+0),8)</f>
        <v>#N/A</v>
      </c>
      <c r="E89" s="440" t="e">
        <f>INDEX(Seq_Measurement!$A$1:$Y$250,(MATCH(C89,Seq_Measurement!D:D,0)+0),11)</f>
        <v>#N/A</v>
      </c>
      <c r="F89" s="638" t="e">
        <f t="shared" si="9"/>
        <v>#N/A</v>
      </c>
      <c r="G89" s="638" t="e">
        <f t="shared" si="10"/>
        <v>#N/A</v>
      </c>
      <c r="H89" s="1003"/>
      <c r="I89" s="1003"/>
      <c r="J89" s="746"/>
      <c r="K89" s="746"/>
      <c r="L89" s="450" t="e">
        <f t="shared" si="11"/>
        <v>#N/A</v>
      </c>
    </row>
    <row r="90" spans="1:16" ht="12.75" customHeight="1">
      <c r="A90" s="1006" t="s">
        <v>574</v>
      </c>
      <c r="B90" s="1006" t="s">
        <v>299</v>
      </c>
      <c r="C90" s="49" t="s">
        <v>651</v>
      </c>
      <c r="D90" s="440" t="e">
        <f>INDEX(Seq_Measurement!$A$1:$BE$241,(MATCH(C90,Seq_Measurement!D:D,0)+0),8)</f>
        <v>#N/A</v>
      </c>
      <c r="E90" s="440" t="e">
        <f>INDEX(Seq_Measurement!$A$1:$Y$250,(MATCH(C90,Seq_Measurement!D:D,0)+0),11)</f>
        <v>#N/A</v>
      </c>
      <c r="F90" s="638" t="str">
        <f>IF(IFERROR(INDEX(Seq_Measurement!$A$1:$Y$250,(MATCH(C90,Seq_Measurement!D:D,0)+0),11),),D90/10000,"-")</f>
        <v>-</v>
      </c>
      <c r="G90" s="638" t="str">
        <f>IF(IFERROR(INDEX(Seq_Measurement!$A$1:$Y$250,(MATCH(C90,Seq_Measurement!D:D,0)+0),11),),E90/10000,"-")</f>
        <v>-</v>
      </c>
      <c r="H90" s="1003"/>
      <c r="I90" s="1003"/>
      <c r="J90" s="746"/>
      <c r="K90" s="1008" t="str">
        <f>TEXT(F90,"0,000 \s")</f>
        <v>-</v>
      </c>
      <c r="L90" s="450" t="str">
        <f t="shared" ref="L90:L108" si="12">IF((G90="-"),"-",TEXT(G90,"0,000 \s"))</f>
        <v>-</v>
      </c>
    </row>
    <row r="91" spans="1:16">
      <c r="A91" s="746"/>
      <c r="B91" s="746"/>
      <c r="C91" s="50" t="s">
        <v>652</v>
      </c>
      <c r="D91" s="440" t="e">
        <f>INDEX(Seq_Measurement!$A$1:$BE$241,(MATCH(C91,Seq_Measurement!D:D,0)+0),8)</f>
        <v>#N/A</v>
      </c>
      <c r="E91" s="440" t="e">
        <f>INDEX(Seq_Measurement!$A$1:$Y$250,(MATCH(C91,Seq_Measurement!D:D,0)+0),11)</f>
        <v>#N/A</v>
      </c>
      <c r="F91" s="638" t="str">
        <f>IF(IFERROR(INDEX(Seq_Measurement!$A$1:$Y$250,(MATCH(C91,Seq_Measurement!D:D,0)+0),11),),D91/10000,"-")</f>
        <v>-</v>
      </c>
      <c r="G91" s="638" t="str">
        <f>IF(IFERROR(INDEX(Seq_Measurement!$A$1:$Y$250,(MATCH(C91,Seq_Measurement!D:D,0)+0),11),),E91/10000,"-")</f>
        <v>-</v>
      </c>
      <c r="H91" s="1003"/>
      <c r="I91" s="1003"/>
      <c r="J91" s="746"/>
      <c r="K91" s="746"/>
      <c r="L91" s="450" t="str">
        <f t="shared" si="12"/>
        <v>-</v>
      </c>
    </row>
    <row r="92" spans="1:16">
      <c r="A92" s="746"/>
      <c r="B92" s="746"/>
      <c r="C92" s="49" t="s">
        <v>653</v>
      </c>
      <c r="D92" s="440" t="e">
        <f>INDEX(Seq_Measurement!$A$1:$BE$241,(MATCH(C92,Seq_Measurement!D:D,0)+0),8)</f>
        <v>#N/A</v>
      </c>
      <c r="E92" s="440" t="e">
        <f>INDEX(Seq_Measurement!$A$1:$Y$250,(MATCH(C92,Seq_Measurement!D:D,0)+0),11)</f>
        <v>#N/A</v>
      </c>
      <c r="F92" s="638" t="str">
        <f>IF(IFERROR(INDEX(Seq_Measurement!$A$1:$Y$250,(MATCH(C92,Seq_Measurement!D:D,0)+0),11),),D92/10000,"-")</f>
        <v>-</v>
      </c>
      <c r="G92" s="638" t="str">
        <f>IF(IFERROR(INDEX(Seq_Measurement!$A$1:$Y$250,(MATCH(C92,Seq_Measurement!D:D,0)+0),11),),E92/10000,"-")</f>
        <v>-</v>
      </c>
      <c r="H92" s="1003"/>
      <c r="I92" s="1003"/>
      <c r="J92" s="746"/>
      <c r="K92" s="746"/>
      <c r="L92" s="450" t="str">
        <f t="shared" si="12"/>
        <v>-</v>
      </c>
    </row>
    <row r="93" spans="1:16">
      <c r="A93" s="746"/>
      <c r="B93" s="746"/>
      <c r="C93" s="50" t="s">
        <v>654</v>
      </c>
      <c r="D93" s="440" t="e">
        <f>INDEX(Seq_Measurement!$A$1:$BE$241,(MATCH(C93,Seq_Measurement!D:D,0)+0),8)</f>
        <v>#N/A</v>
      </c>
      <c r="E93" s="440" t="e">
        <f>INDEX(Seq_Measurement!$A$1:$Y$250,(MATCH(C93,Seq_Measurement!D:D,0)+0),11)</f>
        <v>#N/A</v>
      </c>
      <c r="F93" s="638" t="str">
        <f>IF(IFERROR(INDEX(Seq_Measurement!$A$1:$Y$250,(MATCH(C93,Seq_Measurement!D:D,0)+0),11),),D93/10000,"-")</f>
        <v>-</v>
      </c>
      <c r="G93" s="638" t="str">
        <f>IF(IFERROR(INDEX(Seq_Measurement!$A$1:$Y$250,(MATCH(C93,Seq_Measurement!D:D,0)+0),11),),E93/10000,"-")</f>
        <v>-</v>
      </c>
      <c r="H93" s="1003"/>
      <c r="I93" s="1003"/>
      <c r="J93" s="746"/>
      <c r="K93" s="746"/>
      <c r="L93" s="450" t="str">
        <f t="shared" si="12"/>
        <v>-</v>
      </c>
    </row>
    <row r="94" spans="1:16">
      <c r="A94" s="746"/>
      <c r="B94" s="1006" t="s">
        <v>301</v>
      </c>
      <c r="C94" s="49" t="s">
        <v>655</v>
      </c>
      <c r="D94" s="440" t="e">
        <f>INDEX(Seq_Measurement!$A$1:$BE$241,(MATCH(C94,Seq_Measurement!D:D,0)+0),8)</f>
        <v>#N/A</v>
      </c>
      <c r="E94" s="440" t="e">
        <f>INDEX(Seq_Measurement!$A$1:$Y$250,(MATCH(C94,Seq_Measurement!D:D,0)+0),11)</f>
        <v>#N/A</v>
      </c>
      <c r="F94" s="638" t="str">
        <f>IF(IFERROR(INDEX(Seq_Measurement!$A$1:$Y$250,(MATCH(C94,Seq_Measurement!D:D,0)+0),11),),D94/10000,"-")</f>
        <v>-</v>
      </c>
      <c r="G94" s="638" t="str">
        <f>IF(IFERROR(INDEX(Seq_Measurement!$A$1:$Y$250,(MATCH(C94,Seq_Measurement!D:D,0)+0),11),),E94/10000,"-")</f>
        <v>-</v>
      </c>
      <c r="H94" s="1003"/>
      <c r="I94" s="1003"/>
      <c r="J94" s="746"/>
      <c r="K94" s="1008" t="str">
        <f>TEXT(F94,"0,000 \s")</f>
        <v>-</v>
      </c>
      <c r="L94" s="450" t="str">
        <f t="shared" si="12"/>
        <v>-</v>
      </c>
    </row>
    <row r="95" spans="1:16">
      <c r="A95" s="746"/>
      <c r="B95" s="746"/>
      <c r="C95" s="50" t="s">
        <v>656</v>
      </c>
      <c r="D95" s="440" t="e">
        <f>INDEX(Seq_Measurement!$A$1:$BE$241,(MATCH(C95,Seq_Measurement!D:D,0)+0),8)</f>
        <v>#N/A</v>
      </c>
      <c r="E95" s="440" t="e">
        <f>INDEX(Seq_Measurement!$A$1:$Y$250,(MATCH(C95,Seq_Measurement!D:D,0)+0),11)</f>
        <v>#N/A</v>
      </c>
      <c r="F95" s="638" t="str">
        <f>IF(IFERROR(INDEX(Seq_Measurement!$A$1:$Y$250,(MATCH(C95,Seq_Measurement!D:D,0)+0),11),),D95/10000,"-")</f>
        <v>-</v>
      </c>
      <c r="G95" s="638" t="str">
        <f>IF(IFERROR(INDEX(Seq_Measurement!$A$1:$Y$250,(MATCH(C95,Seq_Measurement!D:D,0)+0),11),),E95/10000,"-")</f>
        <v>-</v>
      </c>
      <c r="H95" s="1003"/>
      <c r="I95" s="1003"/>
      <c r="J95" s="746"/>
      <c r="K95" s="746"/>
      <c r="L95" s="450" t="str">
        <f t="shared" si="12"/>
        <v>-</v>
      </c>
    </row>
    <row r="96" spans="1:16">
      <c r="A96" s="746"/>
      <c r="B96" s="746"/>
      <c r="C96" s="49" t="s">
        <v>657</v>
      </c>
      <c r="D96" s="440" t="e">
        <f>INDEX(Seq_Measurement!$A$1:$BE$241,(MATCH(C96,Seq_Measurement!D:D,0)+0),8)</f>
        <v>#N/A</v>
      </c>
      <c r="E96" s="440" t="e">
        <f>INDEX(Seq_Measurement!$A$1:$Y$250,(MATCH(C96,Seq_Measurement!D:D,0)+0),11)</f>
        <v>#N/A</v>
      </c>
      <c r="F96" s="638" t="str">
        <f>IF(IFERROR(INDEX(Seq_Measurement!$A$1:$Y$250,(MATCH(C96,Seq_Measurement!D:D,0)+0),11),),D96/10000,"-")</f>
        <v>-</v>
      </c>
      <c r="G96" s="638" t="str">
        <f>IF(IFERROR(INDEX(Seq_Measurement!$A$1:$Y$250,(MATCH(C96,Seq_Measurement!D:D,0)+0),11),),E96/10000,"-")</f>
        <v>-</v>
      </c>
      <c r="H96" s="1003"/>
      <c r="I96" s="1003"/>
      <c r="J96" s="746"/>
      <c r="K96" s="746"/>
      <c r="L96" s="450" t="str">
        <f t="shared" si="12"/>
        <v>-</v>
      </c>
    </row>
    <row r="97" spans="1:16">
      <c r="A97" s="746"/>
      <c r="B97" s="746"/>
      <c r="C97" s="50" t="s">
        <v>658</v>
      </c>
      <c r="D97" s="440" t="e">
        <f>INDEX(Seq_Measurement!$A$1:$BE$241,(MATCH(C97,Seq_Measurement!D:D,0)+0),8)</f>
        <v>#N/A</v>
      </c>
      <c r="E97" s="440" t="e">
        <f>INDEX(Seq_Measurement!$A$1:$Y$250,(MATCH(C97,Seq_Measurement!D:D,0)+0),11)</f>
        <v>#N/A</v>
      </c>
      <c r="F97" s="638" t="str">
        <f>IF(IFERROR(INDEX(Seq_Measurement!$A$1:$Y$250,(MATCH(C97,Seq_Measurement!D:D,0)+0),11),),D97/10000,"-")</f>
        <v>-</v>
      </c>
      <c r="G97" s="638" t="str">
        <f>IF(IFERROR(INDEX(Seq_Measurement!$A$1:$Y$250,(MATCH(C97,Seq_Measurement!D:D,0)+0),11),),E97/10000,"-")</f>
        <v>-</v>
      </c>
      <c r="H97" s="1003"/>
      <c r="I97" s="1003"/>
      <c r="J97" s="746"/>
      <c r="K97" s="746"/>
      <c r="L97" s="450" t="str">
        <f t="shared" si="12"/>
        <v>-</v>
      </c>
    </row>
    <row r="98" spans="1:16">
      <c r="A98" s="746"/>
      <c r="B98" s="1006" t="s">
        <v>302</v>
      </c>
      <c r="C98" s="49" t="s">
        <v>659</v>
      </c>
      <c r="D98" s="440" t="e">
        <f>INDEX(Seq_Measurement!$A$1:$BE$241,(MATCH(C98,Seq_Measurement!D:D,0)+0),8)</f>
        <v>#N/A</v>
      </c>
      <c r="E98" s="440" t="e">
        <f>INDEX(Seq_Measurement!$A$1:$Y$250,(MATCH(C98,Seq_Measurement!D:D,0)+0),11)</f>
        <v>#N/A</v>
      </c>
      <c r="F98" s="638" t="str">
        <f>IF(IFERROR(INDEX(Seq_Measurement!$A$1:$Y$250,(MATCH(C98,Seq_Measurement!D:D,0)+0),11),),D98/10000,"-")</f>
        <v>-</v>
      </c>
      <c r="G98" s="638" t="str">
        <f>IF(IFERROR(INDEX(Seq_Measurement!$A$1:$Y$250,(MATCH(C98,Seq_Measurement!D:D,0)+0),11),),E98/10000,"-")</f>
        <v>-</v>
      </c>
      <c r="H98" s="1003"/>
      <c r="I98" s="1003"/>
      <c r="J98" s="746"/>
      <c r="K98" s="1008" t="str">
        <f>TEXT(F98,"0,000 \s")</f>
        <v>-</v>
      </c>
      <c r="L98" s="450" t="str">
        <f t="shared" si="12"/>
        <v>-</v>
      </c>
    </row>
    <row r="99" spans="1:16">
      <c r="A99" s="746"/>
      <c r="B99" s="746"/>
      <c r="C99" s="50" t="s">
        <v>660</v>
      </c>
      <c r="D99" s="440" t="e">
        <f>INDEX(Seq_Measurement!$A$1:$BE$241,(MATCH(C99,Seq_Measurement!D:D,0)+0),8)</f>
        <v>#N/A</v>
      </c>
      <c r="E99" s="440" t="e">
        <f>INDEX(Seq_Measurement!$A$1:$Y$250,(MATCH(C99,Seq_Measurement!D:D,0)+0),11)</f>
        <v>#N/A</v>
      </c>
      <c r="F99" s="638" t="str">
        <f>IF(IFERROR(INDEX(Seq_Measurement!$A$1:$Y$250,(MATCH(C99,Seq_Measurement!D:D,0)+0),11),),D99/10000,"-")</f>
        <v>-</v>
      </c>
      <c r="G99" s="638" t="str">
        <f>IF(IFERROR(INDEX(Seq_Measurement!$A$1:$Y$250,(MATCH(C99,Seq_Measurement!D:D,0)+0),11),),E99/10000,"-")</f>
        <v>-</v>
      </c>
      <c r="H99" s="1003"/>
      <c r="I99" s="1003"/>
      <c r="J99" s="746"/>
      <c r="K99" s="746"/>
      <c r="L99" s="450" t="str">
        <f t="shared" si="12"/>
        <v>-</v>
      </c>
    </row>
    <row r="100" spans="1:16">
      <c r="A100" s="746"/>
      <c r="B100" s="746"/>
      <c r="C100" s="49" t="s">
        <v>661</v>
      </c>
      <c r="D100" s="440" t="e">
        <f>INDEX(Seq_Measurement!$A$1:$BE$241,(MATCH(C100,Seq_Measurement!D:D,0)+0),8)</f>
        <v>#N/A</v>
      </c>
      <c r="E100" s="440" t="e">
        <f>INDEX(Seq_Measurement!$A$1:$Y$250,(MATCH(C100,Seq_Measurement!D:D,0)+0),11)</f>
        <v>#N/A</v>
      </c>
      <c r="F100" s="638" t="str">
        <f>IF(IFERROR(INDEX(Seq_Measurement!$A$1:$Y$250,(MATCH(C100,Seq_Measurement!D:D,0)+0),11),),D100/10000,"-")</f>
        <v>-</v>
      </c>
      <c r="G100" s="638" t="str">
        <f>IF(IFERROR(INDEX(Seq_Measurement!$A$1:$Y$250,(MATCH(C100,Seq_Measurement!D:D,0)+0),11),),E100/10000,"-")</f>
        <v>-</v>
      </c>
      <c r="H100" s="1003"/>
      <c r="I100" s="1003"/>
      <c r="J100" s="746"/>
      <c r="K100" s="746"/>
      <c r="L100" s="450" t="str">
        <f t="shared" si="12"/>
        <v>-</v>
      </c>
    </row>
    <row r="101" spans="1:16">
      <c r="A101" s="746"/>
      <c r="B101" s="1006" t="s">
        <v>303</v>
      </c>
      <c r="C101" s="49" t="s">
        <v>662</v>
      </c>
      <c r="D101" s="440" t="e">
        <f>INDEX(Seq_Measurement!$A$1:$BE$241,(MATCH(C101,Seq_Measurement!D:D,0)+0),8)</f>
        <v>#N/A</v>
      </c>
      <c r="E101" s="440" t="e">
        <f>INDEX(Seq_Measurement!$A$1:$Y$250,(MATCH(C101,Seq_Measurement!D:D,0)+0),11)</f>
        <v>#N/A</v>
      </c>
      <c r="F101" s="638" t="str">
        <f>IF(IFERROR(INDEX(Seq_Measurement!$A$1:$Y$250,(MATCH(C101,Seq_Measurement!D:D,0)+0),11),),D101/10000,"-")</f>
        <v>-</v>
      </c>
      <c r="G101" s="638" t="str">
        <f>IF(IFERROR(INDEX(Seq_Measurement!$A$1:$Y$250,(MATCH(C101,Seq_Measurement!D:D,0)+0),11),),E101/10000,"-")</f>
        <v>-</v>
      </c>
      <c r="H101" s="1003"/>
      <c r="I101" s="1003"/>
      <c r="J101" s="746"/>
      <c r="K101" s="1008" t="str">
        <f>TEXT(F101,"0,000 \s")</f>
        <v>-</v>
      </c>
      <c r="L101" s="450" t="str">
        <f t="shared" si="12"/>
        <v>-</v>
      </c>
    </row>
    <row r="102" spans="1:16">
      <c r="A102" s="746"/>
      <c r="B102" s="746"/>
      <c r="C102" s="50" t="s">
        <v>663</v>
      </c>
      <c r="D102" s="440" t="e">
        <f>INDEX(Seq_Measurement!$A$1:$BE$241,(MATCH(C102,Seq_Measurement!D:D,0)+0),8)</f>
        <v>#N/A</v>
      </c>
      <c r="E102" s="440" t="e">
        <f>INDEX(Seq_Measurement!$A$1:$Y$250,(MATCH(C102,Seq_Measurement!D:D,0)+0),11)</f>
        <v>#N/A</v>
      </c>
      <c r="F102" s="638" t="str">
        <f>IF(IFERROR(INDEX(Seq_Measurement!$A$1:$Y$250,(MATCH(C102,Seq_Measurement!D:D,0)+0),11),),D102/10000,"-")</f>
        <v>-</v>
      </c>
      <c r="G102" s="638" t="str">
        <f>IF(IFERROR(INDEX(Seq_Measurement!$A$1:$Y$250,(MATCH(C102,Seq_Measurement!D:D,0)+0),11),),E102/10000,"-")</f>
        <v>-</v>
      </c>
      <c r="H102" s="1003"/>
      <c r="I102" s="1003"/>
      <c r="J102" s="746"/>
      <c r="K102" s="746"/>
      <c r="L102" s="450" t="str">
        <f t="shared" si="12"/>
        <v>-</v>
      </c>
    </row>
    <row r="103" spans="1:16">
      <c r="A103" s="746"/>
      <c r="B103" s="746"/>
      <c r="C103" s="49" t="s">
        <v>664</v>
      </c>
      <c r="D103" s="440" t="e">
        <f>INDEX(Seq_Measurement!$A$1:$BE$241,(MATCH(C103,Seq_Measurement!D:D,0)+0),8)</f>
        <v>#N/A</v>
      </c>
      <c r="E103" s="440" t="e">
        <f>INDEX(Seq_Measurement!$A$1:$Y$250,(MATCH(C103,Seq_Measurement!D:D,0)+0),11)</f>
        <v>#N/A</v>
      </c>
      <c r="F103" s="638" t="str">
        <f>IF(IFERROR(INDEX(Seq_Measurement!$A$1:$Y$250,(MATCH(C103,Seq_Measurement!D:D,0)+0),11),),D103/10000,"-")</f>
        <v>-</v>
      </c>
      <c r="G103" s="638" t="str">
        <f>IF(IFERROR(INDEX(Seq_Measurement!$A$1:$Y$250,(MATCH(C103,Seq_Measurement!D:D,0)+0),11),),E103/10000,"-")</f>
        <v>-</v>
      </c>
      <c r="H103" s="1003"/>
      <c r="I103" s="1003"/>
      <c r="J103" s="746"/>
      <c r="K103" s="746"/>
      <c r="L103" s="450" t="str">
        <f t="shared" si="12"/>
        <v>-</v>
      </c>
    </row>
    <row r="104" spans="1:16" ht="53.25" customHeight="1">
      <c r="A104" s="594" t="s">
        <v>266</v>
      </c>
      <c r="B104" s="36"/>
      <c r="C104" s="49" t="s">
        <v>665</v>
      </c>
      <c r="D104" s="440" t="e">
        <f>INDEX(Seq_Measurement!$A$1:$BE$241,(MATCH(C104,Seq_Measurement!D:D,0)+0),8)</f>
        <v>#N/A</v>
      </c>
      <c r="E104" s="440" t="e">
        <f>INDEX(Seq_Measurement!$A$1:$Y$250,(MATCH(C104,Seq_Measurement!D:D,0)+0),11)</f>
        <v>#N/A</v>
      </c>
      <c r="F104" s="638" t="str">
        <f>IF(IFERROR(INDEX(Seq_Measurement!$A$1:$Y$250,(MATCH(C104,Seq_Measurement!D:D,0)+0),11),),D104/10000,"-")</f>
        <v>-</v>
      </c>
      <c r="G104" s="638" t="str">
        <f>IF(IFERROR(INDEX(Seq_Measurement!$A$1:$Y$250,(MATCH(C104,Seq_Measurement!D:D,0)+0),11),),E104/10000,"-")</f>
        <v>-</v>
      </c>
      <c r="H104" s="1003"/>
      <c r="I104" s="1003"/>
      <c r="J104" s="746"/>
      <c r="K104" s="102" t="str">
        <f>TEXT(F104,"0,000 \s")</f>
        <v>-</v>
      </c>
      <c r="L104" s="597" t="str">
        <f t="shared" si="12"/>
        <v>-</v>
      </c>
    </row>
    <row r="105" spans="1:16" ht="25.5" customHeight="1">
      <c r="A105" s="1006" t="s">
        <v>666</v>
      </c>
      <c r="B105" s="36" t="s">
        <v>409</v>
      </c>
      <c r="C105" s="49" t="s">
        <v>667</v>
      </c>
      <c r="D105" s="440" t="e">
        <f>INDEX(Seq_Measurement!$A$1:$BE$241,(MATCH(C105,Seq_Measurement!D:D,0)+0),8)</f>
        <v>#N/A</v>
      </c>
      <c r="E105" s="440" t="e">
        <f>INDEX(Seq_Measurement!$A$1:$Y$250,(MATCH(C105,Seq_Measurement!D:D,0)+0),11)</f>
        <v>#N/A</v>
      </c>
      <c r="F105" s="638" t="str">
        <f>IF(IFERROR(INDEX(Seq_Measurement!$A$1:$Y$250,(MATCH(C105,Seq_Measurement!D:D,0)+0),11),),D105/10000,"-")</f>
        <v>-</v>
      </c>
      <c r="G105" s="638" t="str">
        <f>IF(IFERROR(INDEX(Seq_Measurement!$A$1:$Y$250,(MATCH(C105,Seq_Measurement!D:D,0)+0),11),),E105/10000,"-")</f>
        <v>-</v>
      </c>
      <c r="H105" s="1003"/>
      <c r="I105" s="1003"/>
      <c r="J105" s="746"/>
      <c r="K105" t="str">
        <f>TEXT(F105,"0,000 \s")</f>
        <v>-</v>
      </c>
      <c r="L105" s="450" t="str">
        <f t="shared" si="12"/>
        <v>-</v>
      </c>
      <c r="P105" s="51" t="s">
        <v>668</v>
      </c>
    </row>
    <row r="106" spans="1:16" ht="13.5" customHeight="1">
      <c r="A106" s="746"/>
      <c r="B106" s="594" t="s">
        <v>410</v>
      </c>
      <c r="C106" s="50" t="s">
        <v>669</v>
      </c>
      <c r="D106" s="440" t="e">
        <f>INDEX(Seq_Measurement!$A$1:$BE$241,(MATCH(C106,Seq_Measurement!D:D,0)+0),8)</f>
        <v>#N/A</v>
      </c>
      <c r="E106" s="440" t="e">
        <f>INDEX(Seq_Measurement!$A$1:$Y$250,(MATCH(C106,Seq_Measurement!D:D,0)+0),11)</f>
        <v>#N/A</v>
      </c>
      <c r="F106" s="638" t="str">
        <f>IF(IFERROR(INDEX(Seq_Measurement!$A$1:$Y$250,(MATCH(C106,Seq_Measurement!D:D,0)+0),11),),D106/10000,"-")</f>
        <v>-</v>
      </c>
      <c r="G106" s="638" t="str">
        <f>IF(IFERROR(INDEX(Seq_Measurement!$A$1:$Y$250,(MATCH(C106,Seq_Measurement!D:D,0)+0),11),),E106/10000,"-")</f>
        <v>-</v>
      </c>
      <c r="H106" s="1003"/>
      <c r="I106" s="1003"/>
      <c r="J106" s="746"/>
      <c r="K106" t="str">
        <f>TEXT(F106,"0,000 \s")</f>
        <v>-</v>
      </c>
      <c r="L106" s="450" t="str">
        <f t="shared" si="12"/>
        <v>-</v>
      </c>
      <c r="P106" s="51"/>
    </row>
    <row r="107" spans="1:16">
      <c r="A107" s="32" t="s">
        <v>670</v>
      </c>
      <c r="C107" s="449" t="s">
        <v>671</v>
      </c>
      <c r="D107" s="440" t="e">
        <f>INDEX(Seq_Measurement!$A$1:$BE$241,(MATCH(C107,Seq_Measurement!D:D,0)+0),8)</f>
        <v>#N/A</v>
      </c>
      <c r="E107" s="440" t="e">
        <f>INDEX(Seq_Measurement!$A$1:$Y$250,(MATCH(C107,Seq_Measurement!D:D,0)+0),11)</f>
        <v>#N/A</v>
      </c>
      <c r="F107" s="638" t="str">
        <f>IF(IFERROR(INDEX(Seq_Measurement!$A$1:$Y$250,(MATCH(C107,Seq_Measurement!D:D,0)+0),11),),D107/10000,"-")</f>
        <v>-</v>
      </c>
      <c r="G107" s="638" t="str">
        <f>IF(IFERROR(INDEX(Seq_Measurement!$A$1:$Y$250,(MATCH(C107,Seq_Measurement!D:D,0)+0),11),),E107/10000,"-")</f>
        <v>-</v>
      </c>
      <c r="H107" s="1003"/>
      <c r="I107" s="1003"/>
      <c r="J107" s="746"/>
      <c r="K107" t="str">
        <f>TEXT(F107,"0,000 \s")</f>
        <v>-</v>
      </c>
      <c r="L107" s="450" t="str">
        <f t="shared" si="12"/>
        <v>-</v>
      </c>
      <c r="N107" s="32" t="s">
        <v>672</v>
      </c>
      <c r="O107" s="427" t="e">
        <f>(G107-G93)*1000</f>
        <v>#VALUE!</v>
      </c>
      <c r="P107" s="426" t="e">
        <f>O107&amp;" ms"</f>
        <v>#VALUE!</v>
      </c>
    </row>
    <row r="108" spans="1:16">
      <c r="C108" s="449" t="s">
        <v>673</v>
      </c>
      <c r="D108" s="440" t="e">
        <f>INDEX(Seq_Measurement!$A$1:$BE$241,(MATCH(C108,Seq_Measurement!D:D,0)+0),8)</f>
        <v>#N/A</v>
      </c>
      <c r="E108" s="440" t="e">
        <f>INDEX(Seq_Measurement!$A$1:$Y$250,(MATCH(C108,Seq_Measurement!D:D,0)+0),11)</f>
        <v>#N/A</v>
      </c>
      <c r="F108" s="638" t="str">
        <f>IF(IFERROR(INDEX(Seq_Measurement!$A$1:$Y$250,(MATCH(C108,Seq_Measurement!D:D,0)+0),11),),D108/10000,"-")</f>
        <v>-</v>
      </c>
      <c r="G108" s="638" t="str">
        <f>IF(IFERROR(INDEX(Seq_Measurement!$A$1:$Y$250,(MATCH(C108,Seq_Measurement!D:D,0)+0),11),),E108/10000,"-")</f>
        <v>-</v>
      </c>
      <c r="H108" s="1003"/>
      <c r="I108" s="1003"/>
      <c r="J108" s="746"/>
      <c r="K108" t="str">
        <f>TEXT(F108,"0,000 \s")</f>
        <v>-</v>
      </c>
      <c r="L108" s="450" t="str">
        <f t="shared" si="12"/>
        <v>-</v>
      </c>
      <c r="N108" s="32" t="s">
        <v>672</v>
      </c>
      <c r="O108" s="427" t="e">
        <f>(G108-G85)*1000</f>
        <v>#VALUE!</v>
      </c>
      <c r="P108" s="426" t="e">
        <f>O108&amp;" ms"</f>
        <v>#VALUE!</v>
      </c>
    </row>
    <row r="109" spans="1:16">
      <c r="C109" s="449"/>
    </row>
    <row r="110" spans="1:16">
      <c r="C110" s="449"/>
    </row>
    <row r="111" spans="1:16">
      <c r="A111" s="35"/>
      <c r="B111" s="35"/>
      <c r="C111" s="449"/>
      <c r="D111" s="32"/>
      <c r="P111" s="32"/>
    </row>
    <row r="112" spans="1:16">
      <c r="A112" s="36"/>
      <c r="B112" s="36"/>
      <c r="C112" s="449"/>
      <c r="D112" s="32"/>
      <c r="P112" s="32"/>
    </row>
    <row r="113" spans="1:12">
      <c r="A113" s="1001" t="s">
        <v>674</v>
      </c>
      <c r="B113" s="746"/>
      <c r="C113" s="1002"/>
      <c r="D113" s="746"/>
      <c r="E113" s="746"/>
      <c r="F113" s="746"/>
      <c r="G113" s="1003"/>
      <c r="H113" s="1003"/>
      <c r="I113" s="1003"/>
      <c r="J113" s="746"/>
      <c r="K113" s="746"/>
      <c r="L113" s="746"/>
    </row>
    <row r="114" spans="1:12">
      <c r="A114" s="1010"/>
      <c r="B114" s="746"/>
      <c r="C114" s="1002"/>
      <c r="D114" s="746"/>
    </row>
    <row r="115" spans="1:12" ht="12.75" customHeight="1">
      <c r="A115" s="1006" t="s">
        <v>675</v>
      </c>
      <c r="B115" s="746"/>
      <c r="C115" s="103" t="s">
        <v>676</v>
      </c>
      <c r="E115" s="32" t="s">
        <v>677</v>
      </c>
      <c r="F115" s="32"/>
      <c r="H115" s="651" t="s">
        <v>678</v>
      </c>
      <c r="I115" s="651" t="s">
        <v>12</v>
      </c>
    </row>
    <row r="116" spans="1:12">
      <c r="A116" s="746"/>
      <c r="B116" s="746"/>
      <c r="C116" s="449" t="s">
        <v>679</v>
      </c>
      <c r="F116" s="32" t="s">
        <v>680</v>
      </c>
      <c r="G116" s="651" t="s">
        <v>681</v>
      </c>
      <c r="I116" s="651" t="s">
        <v>682</v>
      </c>
    </row>
    <row r="117" spans="1:12">
      <c r="A117" s="746"/>
      <c r="B117" s="746"/>
      <c r="C117" s="449" t="s">
        <v>683</v>
      </c>
      <c r="F117" s="32" t="s">
        <v>684</v>
      </c>
      <c r="G117" s="651" t="s">
        <v>685</v>
      </c>
      <c r="I117" s="651" t="s">
        <v>686</v>
      </c>
    </row>
    <row r="118" spans="1:12">
      <c r="A118" s="746"/>
      <c r="B118" s="746"/>
      <c r="C118" s="449" t="s">
        <v>687</v>
      </c>
      <c r="F118" s="32" t="s">
        <v>688</v>
      </c>
      <c r="I118" s="651" t="s">
        <v>689</v>
      </c>
    </row>
    <row r="119" spans="1:12">
      <c r="A119" s="746"/>
      <c r="B119" s="746"/>
      <c r="C119" s="449" t="s">
        <v>949</v>
      </c>
      <c r="F119" s="32" t="s">
        <v>690</v>
      </c>
      <c r="I119" s="651" t="s">
        <v>691</v>
      </c>
      <c r="K119" s="32"/>
    </row>
    <row r="120" spans="1:12">
      <c r="A120" s="746"/>
      <c r="B120" s="746"/>
      <c r="C120" s="449" t="s">
        <v>19</v>
      </c>
      <c r="F120" s="32" t="s">
        <v>693</v>
      </c>
      <c r="I120" s="651" t="s">
        <v>694</v>
      </c>
    </row>
    <row r="121" spans="1:12">
      <c r="A121" s="746"/>
      <c r="B121" s="746"/>
      <c r="C121" s="449" t="s">
        <v>692</v>
      </c>
      <c r="F121" s="32" t="s">
        <v>696</v>
      </c>
      <c r="I121" s="651" t="s">
        <v>697</v>
      </c>
    </row>
    <row r="122" spans="1:12">
      <c r="A122" s="746"/>
      <c r="B122" s="746"/>
      <c r="C122" s="449" t="s">
        <v>695</v>
      </c>
      <c r="F122" s="32" t="s">
        <v>699</v>
      </c>
    </row>
    <row r="123" spans="1:12">
      <c r="A123" s="746"/>
      <c r="B123" s="746"/>
      <c r="C123" s="449" t="s">
        <v>698</v>
      </c>
      <c r="F123" s="32" t="s">
        <v>701</v>
      </c>
      <c r="I123" s="651"/>
    </row>
    <row r="124" spans="1:12">
      <c r="A124" s="746"/>
      <c r="B124" s="746"/>
      <c r="C124" s="449" t="s">
        <v>700</v>
      </c>
      <c r="F124" s="32" t="s">
        <v>703</v>
      </c>
      <c r="I124" s="651"/>
      <c r="J124" s="32"/>
    </row>
    <row r="125" spans="1:12">
      <c r="A125" s="746"/>
      <c r="B125" s="746"/>
      <c r="C125" s="449" t="s">
        <v>702</v>
      </c>
      <c r="F125" s="32" t="s">
        <v>705</v>
      </c>
      <c r="I125" s="651"/>
    </row>
    <row r="126" spans="1:12">
      <c r="A126" s="746"/>
      <c r="B126" s="746"/>
      <c r="C126" s="449" t="s">
        <v>704</v>
      </c>
      <c r="F126" s="32" t="s">
        <v>707</v>
      </c>
      <c r="I126" s="651"/>
    </row>
    <row r="127" spans="1:12">
      <c r="A127" s="746"/>
      <c r="B127" s="746"/>
      <c r="C127" s="449" t="s">
        <v>706</v>
      </c>
      <c r="F127" s="32" t="s">
        <v>709</v>
      </c>
    </row>
    <row r="128" spans="1:12">
      <c r="A128" s="746"/>
      <c r="B128" s="746"/>
      <c r="C128" s="449" t="s">
        <v>708</v>
      </c>
      <c r="F128" s="32" t="s">
        <v>711</v>
      </c>
    </row>
    <row r="129" spans="1:6">
      <c r="A129" s="746"/>
      <c r="B129" s="746"/>
      <c r="C129" s="103" t="s">
        <v>710</v>
      </c>
      <c r="F129" s="32" t="s">
        <v>713</v>
      </c>
    </row>
    <row r="130" spans="1:6">
      <c r="A130" s="746"/>
      <c r="B130" s="746"/>
      <c r="C130" s="103" t="s">
        <v>712</v>
      </c>
      <c r="F130" s="32" t="s">
        <v>715</v>
      </c>
    </row>
    <row r="131" spans="1:6">
      <c r="A131" s="746"/>
      <c r="B131" s="746"/>
      <c r="C131" s="103" t="s">
        <v>714</v>
      </c>
      <c r="F131" s="32" t="s">
        <v>716</v>
      </c>
    </row>
    <row r="132" spans="1:6">
      <c r="A132" s="746"/>
      <c r="B132" s="746"/>
      <c r="C132" s="449" t="s">
        <v>950</v>
      </c>
      <c r="F132" s="32" t="s">
        <v>717</v>
      </c>
    </row>
    <row r="133" spans="1:6">
      <c r="C133" s="449" t="s">
        <v>951</v>
      </c>
      <c r="F133" s="32" t="s">
        <v>718</v>
      </c>
    </row>
    <row r="134" spans="1:6">
      <c r="C134" s="449"/>
      <c r="F134" s="32" t="s">
        <v>719</v>
      </c>
    </row>
    <row r="135" spans="1:6">
      <c r="A135" s="1022" t="s">
        <v>720</v>
      </c>
      <c r="C135" s="103" t="s">
        <v>80</v>
      </c>
      <c r="F135" s="32" t="s">
        <v>721</v>
      </c>
    </row>
    <row r="136" spans="1:6">
      <c r="A136" s="746"/>
      <c r="C136" s="449" t="s">
        <v>722</v>
      </c>
      <c r="F136" s="32" t="s">
        <v>723</v>
      </c>
    </row>
    <row r="137" spans="1:6">
      <c r="A137" s="746"/>
      <c r="C137" s="449" t="s">
        <v>724</v>
      </c>
    </row>
    <row r="138" spans="1:6">
      <c r="A138" s="746"/>
      <c r="C138" s="449" t="s">
        <v>725</v>
      </c>
    </row>
    <row r="139" spans="1:6">
      <c r="A139" s="746"/>
      <c r="C139" s="449"/>
    </row>
    <row r="140" spans="1:6">
      <c r="A140" s="746"/>
      <c r="C140" s="449"/>
    </row>
    <row r="141" spans="1:6">
      <c r="C141" s="449"/>
    </row>
    <row r="142" spans="1:6">
      <c r="C142" s="449"/>
    </row>
    <row r="143" spans="1:6">
      <c r="C143" s="449"/>
    </row>
    <row r="144" spans="1:6">
      <c r="C144" s="449"/>
    </row>
    <row r="145" spans="3:3">
      <c r="C145" s="449"/>
    </row>
    <row r="146" spans="3:3">
      <c r="C146" s="449"/>
    </row>
    <row r="147" spans="3:3">
      <c r="C147" s="449"/>
    </row>
    <row r="148" spans="3:3">
      <c r="C148" s="449"/>
    </row>
    <row r="149" spans="3:3">
      <c r="C149" s="449"/>
    </row>
    <row r="150" spans="3:3">
      <c r="C150" s="449"/>
    </row>
    <row r="151" spans="3:3">
      <c r="C151" s="449"/>
    </row>
    <row r="152" spans="3:3">
      <c r="C152" s="449"/>
    </row>
    <row r="153" spans="3:3">
      <c r="C153" s="449"/>
    </row>
    <row r="154" spans="3:3">
      <c r="C154" s="449"/>
    </row>
    <row r="155" spans="3:3">
      <c r="C155" s="449"/>
    </row>
    <row r="156" spans="3:3">
      <c r="C156" s="449"/>
    </row>
    <row r="157" spans="3:3">
      <c r="C157" s="449"/>
    </row>
    <row r="158" spans="3:3">
      <c r="C158" s="449"/>
    </row>
    <row r="159" spans="3:3">
      <c r="C159" s="449"/>
    </row>
    <row r="160" spans="3:3">
      <c r="C160" s="449"/>
    </row>
    <row r="161" spans="3:3">
      <c r="C161" s="449"/>
    </row>
    <row r="162" spans="3:3">
      <c r="C162" s="449"/>
    </row>
    <row r="163" spans="3:3">
      <c r="C163" s="449"/>
    </row>
    <row r="164" spans="3:3">
      <c r="C164" s="449"/>
    </row>
    <row r="165" spans="3:3">
      <c r="C165" s="449"/>
    </row>
    <row r="166" spans="3:3">
      <c r="C166" s="449"/>
    </row>
    <row r="167" spans="3:3">
      <c r="C167" s="449"/>
    </row>
    <row r="168" spans="3:3">
      <c r="C168" s="449"/>
    </row>
    <row r="169" spans="3:3">
      <c r="C169" s="449"/>
    </row>
    <row r="170" spans="3:3">
      <c r="C170" s="449"/>
    </row>
    <row r="171" spans="3:3">
      <c r="C171" s="449"/>
    </row>
    <row r="172" spans="3:3">
      <c r="C172" s="449"/>
    </row>
    <row r="173" spans="3:3">
      <c r="C173" s="449"/>
    </row>
    <row r="174" spans="3:3">
      <c r="C174" s="449"/>
    </row>
    <row r="175" spans="3:3">
      <c r="C175" s="449"/>
    </row>
    <row r="176" spans="3:3">
      <c r="C176" s="449"/>
    </row>
    <row r="177" spans="3:3">
      <c r="C177" s="449"/>
    </row>
    <row r="178" spans="3:3">
      <c r="C178" s="449"/>
    </row>
    <row r="179" spans="3:3">
      <c r="C179" s="449"/>
    </row>
    <row r="180" spans="3:3">
      <c r="C180" s="449"/>
    </row>
    <row r="181" spans="3:3">
      <c r="C181" s="449"/>
    </row>
    <row r="182" spans="3:3">
      <c r="C182" s="449"/>
    </row>
    <row r="183" spans="3:3">
      <c r="C183" s="449"/>
    </row>
    <row r="184" spans="3:3">
      <c r="C184" s="449"/>
    </row>
    <row r="185" spans="3:3">
      <c r="C185" s="449"/>
    </row>
    <row r="186" spans="3:3">
      <c r="C186" s="449"/>
    </row>
    <row r="187" spans="3:3">
      <c r="C187" s="449"/>
    </row>
    <row r="188" spans="3:3">
      <c r="C188" s="449"/>
    </row>
    <row r="189" spans="3:3">
      <c r="C189" s="449"/>
    </row>
    <row r="190" spans="3:3">
      <c r="C190" s="449"/>
    </row>
    <row r="191" spans="3:3">
      <c r="C191" s="449"/>
    </row>
    <row r="192" spans="3:3">
      <c r="C192" s="449"/>
    </row>
    <row r="193" spans="3:3">
      <c r="C193" s="449"/>
    </row>
    <row r="194" spans="3:3">
      <c r="C194" s="449"/>
    </row>
    <row r="195" spans="3:3">
      <c r="C195" s="449"/>
    </row>
    <row r="196" spans="3:3">
      <c r="C196" s="449"/>
    </row>
    <row r="197" spans="3:3">
      <c r="C197" s="449"/>
    </row>
    <row r="198" spans="3:3">
      <c r="C198" s="449"/>
    </row>
    <row r="199" spans="3:3">
      <c r="C199" s="449"/>
    </row>
    <row r="200" spans="3:3">
      <c r="C200" s="449"/>
    </row>
    <row r="201" spans="3:3">
      <c r="C201" s="449"/>
    </row>
    <row r="202" spans="3:3">
      <c r="C202" s="449"/>
    </row>
    <row r="203" spans="3:3">
      <c r="C203" s="449"/>
    </row>
    <row r="204" spans="3:3">
      <c r="C204" s="449"/>
    </row>
    <row r="205" spans="3:3">
      <c r="C205" s="449"/>
    </row>
    <row r="206" spans="3:3">
      <c r="C206" s="449"/>
    </row>
    <row r="207" spans="3:3">
      <c r="C207" s="449"/>
    </row>
    <row r="208" spans="3:3">
      <c r="C208" s="449"/>
    </row>
    <row r="209" spans="3:3">
      <c r="C209" s="449"/>
    </row>
    <row r="210" spans="3:3">
      <c r="C210" s="449"/>
    </row>
    <row r="211" spans="3:3">
      <c r="C211" s="449"/>
    </row>
    <row r="212" spans="3:3">
      <c r="C212" s="449"/>
    </row>
    <row r="213" spans="3:3">
      <c r="C213" s="449"/>
    </row>
    <row r="214" spans="3:3">
      <c r="C214" s="449"/>
    </row>
    <row r="215" spans="3:3">
      <c r="C215" s="449"/>
    </row>
    <row r="216" spans="3:3">
      <c r="C216" s="449"/>
    </row>
    <row r="217" spans="3:3">
      <c r="C217" s="449"/>
    </row>
    <row r="218" spans="3:3">
      <c r="C218" s="449"/>
    </row>
    <row r="219" spans="3:3">
      <c r="C219" s="449"/>
    </row>
    <row r="220" spans="3:3">
      <c r="C220" s="449"/>
    </row>
    <row r="221" spans="3:3">
      <c r="C221" s="449"/>
    </row>
    <row r="222" spans="3:3">
      <c r="C222" s="449"/>
    </row>
    <row r="223" spans="3:3">
      <c r="C223" s="449"/>
    </row>
    <row r="224" spans="3:3">
      <c r="C224" s="449"/>
    </row>
    <row r="225" spans="3:3">
      <c r="C225" s="449"/>
    </row>
    <row r="226" spans="3:3">
      <c r="C226" s="449"/>
    </row>
    <row r="227" spans="3:3">
      <c r="C227" s="449"/>
    </row>
    <row r="228" spans="3:3">
      <c r="C228" s="449"/>
    </row>
    <row r="229" spans="3:3">
      <c r="C229" s="449"/>
    </row>
    <row r="230" spans="3:3">
      <c r="C230" s="449"/>
    </row>
    <row r="231" spans="3:3">
      <c r="C231" s="449"/>
    </row>
    <row r="232" spans="3:3">
      <c r="C232" s="449"/>
    </row>
    <row r="233" spans="3:3">
      <c r="C233" s="449"/>
    </row>
    <row r="234" spans="3:3">
      <c r="C234" s="449"/>
    </row>
    <row r="235" spans="3:3">
      <c r="C235" s="449"/>
    </row>
    <row r="236" spans="3:3">
      <c r="C236" s="449"/>
    </row>
    <row r="237" spans="3:3">
      <c r="C237" s="449"/>
    </row>
    <row r="238" spans="3:3">
      <c r="C238" s="449"/>
    </row>
    <row r="239" spans="3:3">
      <c r="C239" s="449"/>
    </row>
    <row r="240" spans="3:3">
      <c r="C240" s="449"/>
    </row>
    <row r="241" spans="3:3">
      <c r="C241" s="449"/>
    </row>
    <row r="242" spans="3:3">
      <c r="C242" s="449"/>
    </row>
    <row r="243" spans="3:3">
      <c r="C243" s="449"/>
    </row>
    <row r="244" spans="3:3">
      <c r="C244" s="449"/>
    </row>
    <row r="245" spans="3:3">
      <c r="C245" s="449"/>
    </row>
    <row r="246" spans="3:3">
      <c r="C246" s="449"/>
    </row>
    <row r="247" spans="3:3">
      <c r="C247" s="449"/>
    </row>
    <row r="248" spans="3:3">
      <c r="C248" s="449"/>
    </row>
    <row r="249" spans="3:3">
      <c r="C249" s="449"/>
    </row>
    <row r="250" spans="3:3">
      <c r="C250" s="449"/>
    </row>
    <row r="251" spans="3:3">
      <c r="C251" s="449"/>
    </row>
    <row r="252" spans="3:3">
      <c r="C252" s="449"/>
    </row>
    <row r="253" spans="3:3">
      <c r="C253" s="449"/>
    </row>
    <row r="254" spans="3:3">
      <c r="C254" s="449"/>
    </row>
    <row r="255" spans="3:3">
      <c r="C255" s="449"/>
    </row>
    <row r="256" spans="3:3">
      <c r="C256" s="449"/>
    </row>
    <row r="257" spans="3:3">
      <c r="C257" s="449"/>
    </row>
    <row r="258" spans="3:3">
      <c r="C258" s="449"/>
    </row>
    <row r="259" spans="3:3">
      <c r="C259" s="449"/>
    </row>
    <row r="260" spans="3:3">
      <c r="C260" s="449"/>
    </row>
  </sheetData>
  <mergeCells count="93">
    <mergeCell ref="I1:J1"/>
    <mergeCell ref="A90:A103"/>
    <mergeCell ref="K78:K81"/>
    <mergeCell ref="H25:H26"/>
    <mergeCell ref="A1:A2"/>
    <mergeCell ref="D1:E1"/>
    <mergeCell ref="F1:G1"/>
    <mergeCell ref="B1:B2"/>
    <mergeCell ref="H7:H8"/>
    <mergeCell ref="K1:L1"/>
    <mergeCell ref="B27:B34"/>
    <mergeCell ref="H19:H20"/>
    <mergeCell ref="A27:A54"/>
    <mergeCell ref="B55:B56"/>
    <mergeCell ref="K19:K20"/>
    <mergeCell ref="K3:K4"/>
    <mergeCell ref="N27:N42"/>
    <mergeCell ref="H3:H4"/>
    <mergeCell ref="A135:A140"/>
    <mergeCell ref="B101:B103"/>
    <mergeCell ref="H5:H6"/>
    <mergeCell ref="H33:H34"/>
    <mergeCell ref="K65:K66"/>
    <mergeCell ref="B49:B54"/>
    <mergeCell ref="H35:H36"/>
    <mergeCell ref="B35:B42"/>
    <mergeCell ref="K49:K54"/>
    <mergeCell ref="K21:K22"/>
    <mergeCell ref="B86:B89"/>
    <mergeCell ref="B3:B10"/>
    <mergeCell ref="H21:H22"/>
    <mergeCell ref="J59:J62"/>
    <mergeCell ref="A115:B132"/>
    <mergeCell ref="H31:H32"/>
    <mergeCell ref="B57:B58"/>
    <mergeCell ref="K11:K12"/>
    <mergeCell ref="H51:H52"/>
    <mergeCell ref="K35:K42"/>
    <mergeCell ref="K59:K62"/>
    <mergeCell ref="B82:B85"/>
    <mergeCell ref="B11:B18"/>
    <mergeCell ref="K67:K68"/>
    <mergeCell ref="H27:H28"/>
    <mergeCell ref="K86:K89"/>
    <mergeCell ref="K94:K97"/>
    <mergeCell ref="A3:A26"/>
    <mergeCell ref="B69:B70"/>
    <mergeCell ref="K90:K93"/>
    <mergeCell ref="K5:K6"/>
    <mergeCell ref="A67:A70"/>
    <mergeCell ref="H78:J108"/>
    <mergeCell ref="A105:A106"/>
    <mergeCell ref="H55:H56"/>
    <mergeCell ref="K98:K100"/>
    <mergeCell ref="H11:H12"/>
    <mergeCell ref="H17:H18"/>
    <mergeCell ref="H29:H30"/>
    <mergeCell ref="H9:H10"/>
    <mergeCell ref="K13:K14"/>
    <mergeCell ref="K69:K70"/>
    <mergeCell ref="K27:K34"/>
    <mergeCell ref="A114:D114"/>
    <mergeCell ref="J55:J56"/>
    <mergeCell ref="O1:P1"/>
    <mergeCell ref="H45:H46"/>
    <mergeCell ref="A78:A89"/>
    <mergeCell ref="H13:H14"/>
    <mergeCell ref="B78:B81"/>
    <mergeCell ref="H47:H48"/>
    <mergeCell ref="K43:K48"/>
    <mergeCell ref="B19:B26"/>
    <mergeCell ref="H37:H38"/>
    <mergeCell ref="H15:H16"/>
    <mergeCell ref="B98:B100"/>
    <mergeCell ref="H23:H24"/>
    <mergeCell ref="B63:B66"/>
    <mergeCell ref="H1:H2"/>
    <mergeCell ref="A113:L113"/>
    <mergeCell ref="H39:H40"/>
    <mergeCell ref="J57:J58"/>
    <mergeCell ref="B90:B93"/>
    <mergeCell ref="H43:H44"/>
    <mergeCell ref="H41:H42"/>
    <mergeCell ref="H49:H50"/>
    <mergeCell ref="B67:B68"/>
    <mergeCell ref="K101:K103"/>
    <mergeCell ref="B94:B97"/>
    <mergeCell ref="H53:H54"/>
    <mergeCell ref="K63:K64"/>
    <mergeCell ref="B43:B48"/>
    <mergeCell ref="B59:B62"/>
    <mergeCell ref="K82:K85"/>
    <mergeCell ref="A55:A66"/>
  </mergeCells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/>
  <dimension ref="A1:V199"/>
  <sheetViews>
    <sheetView topLeftCell="B44" workbookViewId="0">
      <selection activeCell="H62" sqref="H62"/>
    </sheetView>
  </sheetViews>
  <sheetFormatPr baseColWidth="10" defaultRowHeight="12.75"/>
  <cols>
    <col min="1" max="1" width="9" style="445" bestFit="1" customWidth="1"/>
    <col min="2" max="2" width="4" style="445" bestFit="1" customWidth="1"/>
    <col min="3" max="3" width="30.5703125" style="281" customWidth="1"/>
    <col min="4" max="5" width="11.7109375" style="445" bestFit="1" customWidth="1"/>
    <col min="6" max="6" width="9.140625" style="445" bestFit="1" customWidth="1"/>
    <col min="7" max="7" width="9.140625" style="652" bestFit="1" customWidth="1"/>
    <col min="8" max="8" width="15.28515625" style="652" bestFit="1" customWidth="1"/>
    <col min="9" max="9" width="9.140625" style="652" customWidth="1"/>
    <col min="10" max="10" width="9.140625" style="445" customWidth="1"/>
    <col min="11" max="11" width="15.28515625" style="445" bestFit="1" customWidth="1"/>
    <col min="12" max="12" width="9" style="445" bestFit="1" customWidth="1"/>
    <col min="13" max="13" width="11" style="445" bestFit="1" customWidth="1"/>
    <col min="14" max="15" width="11" style="445" customWidth="1"/>
    <col min="16" max="16" width="11.42578125" style="443" customWidth="1"/>
    <col min="17" max="17" width="13.42578125" style="445" bestFit="1" customWidth="1"/>
    <col min="18" max="18" width="11.42578125" style="445" customWidth="1"/>
    <col min="19" max="19" width="45.5703125" style="445" bestFit="1" customWidth="1"/>
    <col min="20" max="21" width="11.42578125" style="445" customWidth="1"/>
    <col min="22" max="22" width="11.42578125" style="280" customWidth="1"/>
    <col min="23" max="23" width="11.42578125" style="445" customWidth="1"/>
    <col min="24" max="16384" width="11.42578125" style="445"/>
  </cols>
  <sheetData>
    <row r="1" spans="1:22" ht="15" customHeight="1">
      <c r="A1" s="1036" t="s">
        <v>539</v>
      </c>
      <c r="B1" s="1043" t="s">
        <v>540</v>
      </c>
      <c r="C1" s="259"/>
      <c r="D1" s="1038" t="s">
        <v>726</v>
      </c>
      <c r="E1" s="696"/>
      <c r="F1" s="1039" t="s">
        <v>727</v>
      </c>
      <c r="G1" s="696"/>
      <c r="H1" s="1032" t="s">
        <v>728</v>
      </c>
      <c r="I1" s="1049" t="s">
        <v>544</v>
      </c>
      <c r="J1" s="696"/>
      <c r="K1" s="1032" t="s">
        <v>729</v>
      </c>
      <c r="L1" s="1046" t="s">
        <v>730</v>
      </c>
      <c r="M1" s="697"/>
      <c r="N1" s="1046" t="s">
        <v>731</v>
      </c>
      <c r="O1" s="697"/>
      <c r="Q1" s="1032" t="s">
        <v>732</v>
      </c>
      <c r="R1" s="1045" t="s">
        <v>546</v>
      </c>
      <c r="S1" s="671"/>
      <c r="V1" s="260">
        <v>46054</v>
      </c>
    </row>
    <row r="2" spans="1:22" ht="15" customHeight="1">
      <c r="A2" s="674"/>
      <c r="B2" s="679"/>
      <c r="C2" s="261"/>
      <c r="D2" s="602" t="s">
        <v>547</v>
      </c>
      <c r="E2" s="602" t="s">
        <v>548</v>
      </c>
      <c r="F2" s="602" t="s">
        <v>547</v>
      </c>
      <c r="G2" s="602" t="s">
        <v>548</v>
      </c>
      <c r="H2" s="679"/>
      <c r="I2" s="602" t="s">
        <v>547</v>
      </c>
      <c r="J2" s="602" t="s">
        <v>548</v>
      </c>
      <c r="K2" s="679"/>
      <c r="L2" s="602" t="s">
        <v>547</v>
      </c>
      <c r="M2" s="262" t="s">
        <v>548</v>
      </c>
      <c r="N2" s="602" t="s">
        <v>547</v>
      </c>
      <c r="O2" s="262" t="s">
        <v>548</v>
      </c>
      <c r="Q2" s="679"/>
      <c r="V2" s="260">
        <v>46082</v>
      </c>
    </row>
    <row r="3" spans="1:22" ht="15" customHeight="1">
      <c r="A3" s="1030" t="s">
        <v>264</v>
      </c>
      <c r="B3" s="1041" t="s">
        <v>346</v>
      </c>
      <c r="C3" s="439" t="s">
        <v>733</v>
      </c>
      <c r="D3" s="440" t="e">
        <f>INDEX(Measurements!$A$1:$X$152,(MATCH(C3,(Measurements[MeasurementName]),0)+1),9)</f>
        <v>#REF!</v>
      </c>
      <c r="E3" s="440" t="e">
        <f>INDEX(Measurements!$A$1:$X$152,(MATCH(C3,(Measurements[MeasurementName]),0)+1),10)</f>
        <v>#REF!</v>
      </c>
      <c r="F3" s="653" t="e">
        <f>D3/1000000</f>
        <v>#REF!</v>
      </c>
      <c r="G3" s="653" t="e">
        <f>E3/1000000</f>
        <v>#REF!</v>
      </c>
      <c r="H3" s="1037" t="e">
        <f>$G$4/G3</f>
        <v>#VALUE!</v>
      </c>
      <c r="I3" s="441" t="e">
        <f>F3*SQRT(3)</f>
        <v>#REF!</v>
      </c>
      <c r="J3" s="441" t="e">
        <f>G3*SQRT(3)</f>
        <v>#REF!</v>
      </c>
      <c r="K3" s="1050" t="e">
        <f>$G$4/J3</f>
        <v>#VALUE!</v>
      </c>
      <c r="L3" s="1042" t="e">
        <f>TEXT(F3,"#,0#\ V")</f>
        <v>#REF!</v>
      </c>
      <c r="M3" s="442" t="e">
        <f>TEXT(G3,"#,##\ V")</f>
        <v>#REF!</v>
      </c>
      <c r="N3" s="1042" t="e">
        <f>TEXT(I3,"#,0#\ V")</f>
        <v>#REF!</v>
      </c>
      <c r="O3" s="442" t="e">
        <f>TEXT(J3,"#,00\ V")</f>
        <v>#REF!</v>
      </c>
      <c r="Q3" s="445" t="e">
        <f>IF('Schutzprüf-Checkliste'!$M$24=TRUE, (IF(OR(K3&gt;1,K3&lt;0.98),"x","ok")), (IF(OR(H3&gt;1,H3&lt;0.98),"x","ok")))</f>
        <v>#VALUE!</v>
      </c>
      <c r="V3" s="260">
        <v>46113</v>
      </c>
    </row>
    <row r="4" spans="1:22" ht="15" customHeight="1">
      <c r="A4" s="1031"/>
      <c r="B4" s="1031"/>
      <c r="C4" s="439" t="s">
        <v>734</v>
      </c>
      <c r="D4" s="440"/>
      <c r="E4" s="440"/>
      <c r="F4" s="653"/>
      <c r="G4" s="653" t="str">
        <f>'Allgemeine Angaben'!C119</f>
        <v>Eingabe falsch</v>
      </c>
      <c r="H4" s="1035"/>
      <c r="I4" s="441"/>
      <c r="J4" s="441" t="e">
        <f t="shared" ref="J4:J24" si="0">G4*SQRT(3)</f>
        <v>#VALUE!</v>
      </c>
      <c r="K4" s="1031"/>
      <c r="L4" s="1031"/>
      <c r="M4" s="442" t="str">
        <f>TEXT(G4,"#,0#\ V")</f>
        <v>Eingabe falsch</v>
      </c>
      <c r="N4" s="1031"/>
      <c r="O4" s="442"/>
      <c r="V4" s="260">
        <v>46143</v>
      </c>
    </row>
    <row r="5" spans="1:22" ht="15" customHeight="1">
      <c r="A5" s="1031"/>
      <c r="B5" s="1031"/>
      <c r="C5" s="439" t="s">
        <v>735</v>
      </c>
      <c r="D5" s="440" t="e">
        <f>INDEX(Measurements!$A$1:$X$152,(MATCH(C5,(Measurements[MeasurementName]),0)+1),9)</f>
        <v>#REF!</v>
      </c>
      <c r="E5" s="440" t="e">
        <f>INDEX(Measurements!$A$1:$X$152,(MATCH(C5,(Measurements[MeasurementName]),0)+1),10)</f>
        <v>#REF!</v>
      </c>
      <c r="F5" s="653" t="e">
        <f t="shared" ref="F5:G8" si="1">D5/1000000</f>
        <v>#REF!</v>
      </c>
      <c r="G5" s="653" t="e">
        <f t="shared" si="1"/>
        <v>#REF!</v>
      </c>
      <c r="H5" s="654" t="e">
        <f>$G$4/G5</f>
        <v>#VALUE!</v>
      </c>
      <c r="I5" s="441" t="e">
        <f t="shared" ref="I5:I18" si="2">F5*SQRT(3)</f>
        <v>#REF!</v>
      </c>
      <c r="J5" s="441" t="e">
        <f t="shared" si="0"/>
        <v>#REF!</v>
      </c>
      <c r="K5" s="656" t="e">
        <f>$G$4/J5</f>
        <v>#VALUE!</v>
      </c>
      <c r="L5" s="601" t="e">
        <f>TEXT(F3/'Allgemeine Angaben'!C117,"0,00\ U\n")</f>
        <v>#REF!</v>
      </c>
      <c r="M5" s="442" t="e">
        <f>TEXT(G5,"#,##\ V")</f>
        <v>#REF!</v>
      </c>
      <c r="N5" s="601" t="e">
        <f>TEXT(I3/'Allgemeine Angaben'!C117,"0,00\ U\n")</f>
        <v>#REF!</v>
      </c>
      <c r="O5" s="442" t="e">
        <f t="shared" ref="O5:O24" si="3">TEXT(J5,"#,00\ V")</f>
        <v>#REF!</v>
      </c>
      <c r="Q5" s="445" t="e">
        <f>IF('Schutzprüf-Checkliste'!$M$24=TRUE, (IF(OR(K5&gt;1,K5&lt;0.98),"x","ok")), (IF(OR(H5&gt;1,H5&lt;0.98),"x","ok")))</f>
        <v>#VALUE!</v>
      </c>
      <c r="S5" s="445" t="s">
        <v>736</v>
      </c>
      <c r="V5" s="260">
        <v>46174</v>
      </c>
    </row>
    <row r="6" spans="1:22" ht="15" customHeight="1">
      <c r="A6" s="1031"/>
      <c r="B6" s="1031"/>
      <c r="C6" s="439" t="s">
        <v>737</v>
      </c>
      <c r="D6" s="440" t="e">
        <f>INDEX(Measurements!$A$1:$X$152,(MATCH(C6,(Measurements[MeasurementName]),0)+1),9)</f>
        <v>#REF!</v>
      </c>
      <c r="E6" s="440" t="e">
        <f>INDEX(Measurements!$A$1:$X$152,(MATCH(C6,(Measurements[MeasurementName]),0)+1),10)</f>
        <v>#REF!</v>
      </c>
      <c r="F6" s="653" t="e">
        <f t="shared" si="1"/>
        <v>#REF!</v>
      </c>
      <c r="G6" s="653" t="e">
        <f t="shared" si="1"/>
        <v>#REF!</v>
      </c>
      <c r="H6" s="654" t="e">
        <f>$G$4/G6</f>
        <v>#VALUE!</v>
      </c>
      <c r="I6" s="441" t="e">
        <f t="shared" si="2"/>
        <v>#REF!</v>
      </c>
      <c r="J6" s="441" t="e">
        <f t="shared" si="0"/>
        <v>#REF!</v>
      </c>
      <c r="K6" s="656" t="e">
        <f>$G$4/J6</f>
        <v>#VALUE!</v>
      </c>
      <c r="L6" s="442"/>
      <c r="M6" s="442" t="e">
        <f>TEXT(G6,"#,##\ V")</f>
        <v>#REF!</v>
      </c>
      <c r="N6" s="442"/>
      <c r="O6" s="442" t="e">
        <f t="shared" si="3"/>
        <v>#REF!</v>
      </c>
      <c r="Q6" s="445" t="e">
        <f>IF('Schutzprüf-Checkliste'!$M$24=TRUE, (IF(OR(K6&gt;1,K6&lt;0.98),"x","ok")), (IF(OR(H6&gt;1,H6&lt;0.98),"x","ok")))</f>
        <v>#VALUE!</v>
      </c>
      <c r="S6" s="445" t="str">
        <f>IF(COUNTIF(Q2:Q20,"x")&gt;0,"x","ok")</f>
        <v>ok</v>
      </c>
      <c r="V6" s="260">
        <v>46204</v>
      </c>
    </row>
    <row r="7" spans="1:22" ht="15" customHeight="1">
      <c r="A7" s="1031"/>
      <c r="B7" s="1031"/>
      <c r="C7" s="439" t="s">
        <v>738</v>
      </c>
      <c r="D7" s="440" t="e">
        <f>INDEX(Measurements!$A$1:$X$152,(MATCH(C7,(Measurements[MeasurementName]),0)+1),9)</f>
        <v>#REF!</v>
      </c>
      <c r="E7" s="440" t="e">
        <f>INDEX(Measurements!$A$1:$X$152,(MATCH(C7,(Measurements[MeasurementName]),0)+1),10)</f>
        <v>#REF!</v>
      </c>
      <c r="F7" s="653" t="e">
        <f t="shared" si="1"/>
        <v>#REF!</v>
      </c>
      <c r="G7" s="653" t="e">
        <f t="shared" si="1"/>
        <v>#REF!</v>
      </c>
      <c r="H7" s="1044" t="e">
        <f>$G$4/G7</f>
        <v>#VALUE!</v>
      </c>
      <c r="I7" s="441" t="e">
        <f t="shared" si="2"/>
        <v>#REF!</v>
      </c>
      <c r="J7" s="441" t="e">
        <f t="shared" si="0"/>
        <v>#REF!</v>
      </c>
      <c r="K7" s="656" t="e">
        <f>$G$4/J7</f>
        <v>#VALUE!</v>
      </c>
      <c r="L7" s="442"/>
      <c r="M7" s="442" t="e">
        <f>TEXT(G7,"#,##\ V")</f>
        <v>#REF!</v>
      </c>
      <c r="N7" s="442"/>
      <c r="O7" s="442" t="e">
        <f t="shared" si="3"/>
        <v>#REF!</v>
      </c>
      <c r="Q7" s="445" t="e">
        <f>IF('Schutzprüf-Checkliste'!$M$24=TRUE, (IF(OR(K7&gt;1,K7&lt;0.98),"x","ok")), (IF(OR(H7&gt;1,H7&lt;0.98),"x","ok")))</f>
        <v>#VALUE!</v>
      </c>
      <c r="V7" s="260">
        <v>46235</v>
      </c>
    </row>
    <row r="8" spans="1:22" ht="15.75" customHeight="1" thickBot="1">
      <c r="A8" s="1031"/>
      <c r="B8" s="1018"/>
      <c r="C8" s="266" t="s">
        <v>739</v>
      </c>
      <c r="D8" s="301" t="e">
        <f>INDEX(Measurements!$A$1:$X$152,(MATCH(C8,(Measurements[MeasurementName]),0)+1),9)</f>
        <v>#REF!</v>
      </c>
      <c r="E8" s="301" t="e">
        <f>INDEX(Measurements!$A$1:$X$152,(MATCH(C8,(Measurements[MeasurementName]),0)+1),10)</f>
        <v>#REF!</v>
      </c>
      <c r="F8" s="657" t="e">
        <f t="shared" si="1"/>
        <v>#REF!</v>
      </c>
      <c r="G8" s="657" t="e">
        <f t="shared" si="1"/>
        <v>#REF!</v>
      </c>
      <c r="H8" s="1018"/>
      <c r="I8" s="267" t="e">
        <f t="shared" si="2"/>
        <v>#REF!</v>
      </c>
      <c r="J8" s="267" t="e">
        <f t="shared" si="0"/>
        <v>#REF!</v>
      </c>
      <c r="K8" s="658"/>
      <c r="L8" s="268"/>
      <c r="M8" s="268" t="e">
        <f>TEXT(G8,"#,##\ V")</f>
        <v>#REF!</v>
      </c>
      <c r="N8" s="268"/>
      <c r="O8" s="268" t="e">
        <f t="shared" si="3"/>
        <v>#REF!</v>
      </c>
      <c r="P8" s="444"/>
      <c r="V8" s="260">
        <v>46266</v>
      </c>
    </row>
    <row r="9" spans="1:22" ht="15" customHeight="1">
      <c r="A9" s="1031"/>
      <c r="B9" s="600"/>
      <c r="C9" s="270" t="s">
        <v>740</v>
      </c>
      <c r="D9" s="440" t="e">
        <f>INDEX(PlsRmp_Measurement!$A$1:$AB$69,(MATCH(C9,(PlsRmp_Measurement!E:E),0)+1),7)</f>
        <v>#N/A</v>
      </c>
      <c r="E9" s="440" t="e">
        <f>INDEX(PlsRmp_Measurement!$A$1:$AC$69,(MATCH(C9,(PlsRmp_Measurement!E:E),0)+0),10)</f>
        <v>#N/A</v>
      </c>
      <c r="F9" s="653" t="e">
        <f>D9/100</f>
        <v>#N/A</v>
      </c>
      <c r="G9" s="653" t="e">
        <f>E9/100</f>
        <v>#N/A</v>
      </c>
      <c r="H9" s="1037" t="e">
        <f>$G$10/G9</f>
        <v>#VALUE!</v>
      </c>
      <c r="I9" s="441" t="e">
        <f t="shared" si="2"/>
        <v>#N/A</v>
      </c>
      <c r="J9" s="441" t="e">
        <f t="shared" si="0"/>
        <v>#N/A</v>
      </c>
      <c r="K9" s="1050" t="e">
        <f>$G$21/J9</f>
        <v>#VALUE!</v>
      </c>
      <c r="L9" s="1042" t="e">
        <f>TEXT(F9,"#,0#\ V")</f>
        <v>#N/A</v>
      </c>
      <c r="M9" s="442" t="e">
        <f>TEXT(G9,"0,00\ V")</f>
        <v>#N/A</v>
      </c>
      <c r="N9" s="1042" t="e">
        <f>TEXT(I9,"#,0#\ V")</f>
        <v>#N/A</v>
      </c>
      <c r="O9" s="442" t="e">
        <f t="shared" si="3"/>
        <v>#N/A</v>
      </c>
      <c r="Q9" s="445" t="str">
        <f>IF('Allgemeine Angaben'!$C$118="","",(IF('Schutzprüf-Checkliste'!$M$24=TRUE,(IF(OR(K9&gt;1,K9&lt;0.98),"x","ok")),(IF(OR(H9&gt;1,H9&lt;0.98),"x","ok")))))</f>
        <v/>
      </c>
      <c r="V9" s="260"/>
    </row>
    <row r="10" spans="1:22" ht="15" customHeight="1">
      <c r="A10" s="1031"/>
      <c r="B10" s="600"/>
      <c r="C10" s="439" t="s">
        <v>741</v>
      </c>
      <c r="D10" s="440"/>
      <c r="E10" s="440"/>
      <c r="F10" s="653"/>
      <c r="G10" s="653" t="str">
        <f>'Allgemeine Angaben'!C120</f>
        <v/>
      </c>
      <c r="H10" s="1035"/>
      <c r="I10" s="441">
        <f t="shared" si="2"/>
        <v>0</v>
      </c>
      <c r="J10" s="441" t="e">
        <f t="shared" si="0"/>
        <v>#VALUE!</v>
      </c>
      <c r="K10" s="1031"/>
      <c r="L10" s="1031"/>
      <c r="M10" s="442" t="str">
        <f>TEXT(G10,"0,00\ V")</f>
        <v/>
      </c>
      <c r="N10" s="1031"/>
      <c r="O10" s="442" t="e">
        <f t="shared" si="3"/>
        <v>#VALUE!</v>
      </c>
      <c r="V10" s="260"/>
    </row>
    <row r="11" spans="1:22" ht="15" customHeight="1">
      <c r="A11" s="1031"/>
      <c r="B11" s="600"/>
      <c r="C11" s="271" t="s">
        <v>742</v>
      </c>
      <c r="D11" s="440" t="e">
        <f>INDEX(PlsRmp_Measurement!$A$1:$AB$69,(MATCH(C11,(PlsRmp_Measurement!E:E),0)+1),7)</f>
        <v>#N/A</v>
      </c>
      <c r="E11" s="440" t="e">
        <f>INDEX(PlsRmp_Measurement!$A$1:$AC$69,(MATCH(C11,(PlsRmp_Measurement!E:E),0)+0),10)</f>
        <v>#N/A</v>
      </c>
      <c r="F11" s="653" t="e">
        <f t="shared" ref="F11:G13" si="4">D11/100</f>
        <v>#N/A</v>
      </c>
      <c r="G11" s="653" t="e">
        <f t="shared" si="4"/>
        <v>#N/A</v>
      </c>
      <c r="H11" s="659" t="e">
        <f>$G$10/G11</f>
        <v>#VALUE!</v>
      </c>
      <c r="I11" s="441" t="e">
        <f t="shared" si="2"/>
        <v>#N/A</v>
      </c>
      <c r="J11" s="441" t="e">
        <f t="shared" si="0"/>
        <v>#N/A</v>
      </c>
      <c r="K11" s="656" t="e">
        <f>$G$21/J11</f>
        <v>#VALUE!</v>
      </c>
      <c r="L11" s="601" t="e">
        <f>TEXT(F9/'Allgemeine Angaben'!C117,"0,00\ U\n")</f>
        <v>#N/A</v>
      </c>
      <c r="M11" s="442" t="e">
        <f>TEXT(G11,"0,00\ V")</f>
        <v>#N/A</v>
      </c>
      <c r="N11" s="601" t="e">
        <f>TEXT(I9/'Allgemeine Angaben'!C117,"0,00\ U\n")</f>
        <v>#N/A</v>
      </c>
      <c r="O11" s="442" t="e">
        <f t="shared" si="3"/>
        <v>#N/A</v>
      </c>
      <c r="Q11" s="445" t="str">
        <f>IF('Allgemeine Angaben'!$C$118="","",(IF('Schutzprüf-Checkliste'!$M$24=TRUE,(IF(OR(K11&gt;1,K11&lt;0.98),"x","ok")),(IF(OR(H11&gt;1,H11&lt;0.98),"x","ok")))))</f>
        <v/>
      </c>
      <c r="V11" s="260"/>
    </row>
    <row r="12" spans="1:22" ht="15" customHeight="1">
      <c r="A12" s="1031"/>
      <c r="B12" s="600"/>
      <c r="C12" s="271" t="s">
        <v>743</v>
      </c>
      <c r="D12" s="440" t="e">
        <f>INDEX(PlsRmp_Measurement!$A$1:$AB$69,(MATCH(C12,(PlsRmp_Measurement!E:E),0)+1),7)</f>
        <v>#N/A</v>
      </c>
      <c r="E12" s="440" t="e">
        <f>INDEX(PlsRmp_Measurement!$A$1:$AC$69,(MATCH(C12,(PlsRmp_Measurement!E:E),0)+0),10)</f>
        <v>#N/A</v>
      </c>
      <c r="F12" s="653" t="e">
        <f t="shared" si="4"/>
        <v>#N/A</v>
      </c>
      <c r="G12" s="653" t="e">
        <f t="shared" si="4"/>
        <v>#N/A</v>
      </c>
      <c r="H12" s="659" t="e">
        <f>$G$10/G12</f>
        <v>#VALUE!</v>
      </c>
      <c r="I12" s="441" t="e">
        <f t="shared" si="2"/>
        <v>#N/A</v>
      </c>
      <c r="J12" s="441" t="e">
        <f t="shared" si="0"/>
        <v>#N/A</v>
      </c>
      <c r="K12" s="656" t="e">
        <f>$G$21/J12</f>
        <v>#VALUE!</v>
      </c>
      <c r="L12" s="442"/>
      <c r="M12" s="442" t="e">
        <f>TEXT(G12,"0,00\ V")</f>
        <v>#N/A</v>
      </c>
      <c r="N12" s="442"/>
      <c r="O12" s="442" t="e">
        <f t="shared" si="3"/>
        <v>#N/A</v>
      </c>
      <c r="Q12" s="445" t="str">
        <f>IF('Allgemeine Angaben'!$C$118="","",(IF('Schutzprüf-Checkliste'!$M$24=TRUE,(IF(OR(K12&gt;1,K12&lt;0.98),"x","ok")),(IF(OR(H12&gt;1,H12&lt;0.98),"x","ok")))))</f>
        <v/>
      </c>
      <c r="V12" s="260"/>
    </row>
    <row r="13" spans="1:22" ht="15.75" customHeight="1" thickBot="1">
      <c r="A13" s="1031"/>
      <c r="B13" s="600"/>
      <c r="C13" s="271" t="s">
        <v>744</v>
      </c>
      <c r="D13" s="440" t="e">
        <f>INDEX(PlsRmp_Measurement!$A$1:$AB$69,(MATCH(C13,(PlsRmp_Measurement!E:E),0)+1),7)</f>
        <v>#N/A</v>
      </c>
      <c r="E13" s="440" t="e">
        <f>INDEX(PlsRmp_Measurement!$A$1:$AC$69,(MATCH(C13,(PlsRmp_Measurement!E:E),0)+0),10)</f>
        <v>#N/A</v>
      </c>
      <c r="F13" s="653" t="e">
        <f t="shared" si="4"/>
        <v>#N/A</v>
      </c>
      <c r="G13" s="653" t="e">
        <f t="shared" si="4"/>
        <v>#N/A</v>
      </c>
      <c r="H13" s="659" t="e">
        <f>$G$10/G13</f>
        <v>#VALUE!</v>
      </c>
      <c r="I13" s="441" t="e">
        <f t="shared" si="2"/>
        <v>#N/A</v>
      </c>
      <c r="J13" s="441" t="e">
        <f t="shared" si="0"/>
        <v>#N/A</v>
      </c>
      <c r="K13" s="655" t="e">
        <f>$G$21/J13</f>
        <v>#VALUE!</v>
      </c>
      <c r="L13" s="442"/>
      <c r="M13" s="442" t="e">
        <f>TEXT(G13,"0,00\ V")</f>
        <v>#N/A</v>
      </c>
      <c r="N13" s="442"/>
      <c r="O13" s="442" t="e">
        <f t="shared" si="3"/>
        <v>#N/A</v>
      </c>
      <c r="Q13" s="445" t="str">
        <f>IF('Allgemeine Angaben'!$C$118="","",(IF('Schutzprüf-Checkliste'!$M$24=TRUE,(IF(OR(K13&gt;1,K13&lt;0.98),"x","ok")),(IF(OR(H13&gt;1,H13&lt;0.98),"x","ok")))))</f>
        <v/>
      </c>
      <c r="V13" s="260"/>
    </row>
    <row r="14" spans="1:22" ht="12.75" customHeight="1">
      <c r="A14" s="1031"/>
      <c r="B14" s="1033" t="s">
        <v>304</v>
      </c>
      <c r="C14" s="263" t="s">
        <v>745</v>
      </c>
      <c r="D14" s="300" t="e">
        <f>INDEX(Measurements!$A$1:$X$152,(MATCH(C14,(Measurements[MeasurementName]),0)+1),9)</f>
        <v>#REF!</v>
      </c>
      <c r="E14" s="300" t="e">
        <f>INDEX(Measurements!$A$1:$X$152,(MATCH(C14,(Measurements[MeasurementName]),0)+1),10)</f>
        <v>#REF!</v>
      </c>
      <c r="F14" s="660" t="e">
        <f>D14/1000000</f>
        <v>#REF!</v>
      </c>
      <c r="G14" s="660" t="e">
        <f>E14/1000000</f>
        <v>#REF!</v>
      </c>
      <c r="H14" s="1052" t="e">
        <f>$G$15/G14</f>
        <v>#VALUE!</v>
      </c>
      <c r="I14" s="264" t="e">
        <f t="shared" si="2"/>
        <v>#REF!</v>
      </c>
      <c r="J14" s="264" t="e">
        <f t="shared" si="0"/>
        <v>#REF!</v>
      </c>
      <c r="K14" s="1048" t="e">
        <f>$G$15/J14</f>
        <v>#VALUE!</v>
      </c>
      <c r="L14" s="1040" t="e">
        <f>TEXT(F14,"#,0#\ V")</f>
        <v>#REF!</v>
      </c>
      <c r="M14" s="265" t="e">
        <f>TEXT(G14,"#,##\ V")</f>
        <v>#REF!</v>
      </c>
      <c r="N14" s="1040" t="e">
        <f>TEXT(I14,"#,0#\ V")</f>
        <v>#REF!</v>
      </c>
      <c r="O14" s="442" t="e">
        <f t="shared" si="3"/>
        <v>#REF!</v>
      </c>
      <c r="Q14" s="445" t="e">
        <f>IF('Schutzprüf-Checkliste'!$M$24=TRUE, (IF(OR(K14&lt;1,K14&gt;1.02),"x","ok")), (IF(OR(H14&lt;1,H14&gt;1.02),"x","ok")))</f>
        <v>#VALUE!</v>
      </c>
      <c r="V14" s="260">
        <v>46296</v>
      </c>
    </row>
    <row r="15" spans="1:22" ht="15" customHeight="1">
      <c r="A15" s="1031"/>
      <c r="B15" s="1031"/>
      <c r="C15" s="439" t="s">
        <v>746</v>
      </c>
      <c r="D15" s="440"/>
      <c r="E15" s="440"/>
      <c r="F15" s="653"/>
      <c r="G15" s="653" t="str">
        <f>'Allgemeine Angaben'!C121</f>
        <v>Eingabe falsch</v>
      </c>
      <c r="H15" s="1035"/>
      <c r="I15" s="441">
        <f t="shared" si="2"/>
        <v>0</v>
      </c>
      <c r="J15" s="441" t="e">
        <f t="shared" si="0"/>
        <v>#VALUE!</v>
      </c>
      <c r="K15" s="1031"/>
      <c r="L15" s="1031"/>
      <c r="M15" s="442" t="str">
        <f>TEXT(G15,"#,##\ V")</f>
        <v>Eingabe falsch</v>
      </c>
      <c r="N15" s="1031"/>
      <c r="O15" s="442" t="e">
        <f t="shared" si="3"/>
        <v>#VALUE!</v>
      </c>
      <c r="V15" s="260">
        <v>46327</v>
      </c>
    </row>
    <row r="16" spans="1:22" ht="15" customHeight="1">
      <c r="A16" s="1031"/>
      <c r="B16" s="1031"/>
      <c r="C16" s="439" t="s">
        <v>747</v>
      </c>
      <c r="D16" s="440" t="e">
        <f>INDEX(Measurements!$A$1:$X$152,(MATCH(C16,(Measurements[MeasurementName]),0)+1),9)</f>
        <v>#REF!</v>
      </c>
      <c r="E16" s="440" t="e">
        <f>INDEX(Measurements!$A$1:$X$152,(MATCH(C16,(Measurements[MeasurementName]),0)+1),10)</f>
        <v>#REF!</v>
      </c>
      <c r="F16" s="653" t="e">
        <f t="shared" ref="F16:G19" si="5">D16/1000000</f>
        <v>#REF!</v>
      </c>
      <c r="G16" s="653" t="e">
        <f t="shared" si="5"/>
        <v>#REF!</v>
      </c>
      <c r="H16" s="654" t="e">
        <f>$G$15/G16</f>
        <v>#VALUE!</v>
      </c>
      <c r="I16" s="441" t="e">
        <f t="shared" si="2"/>
        <v>#REF!</v>
      </c>
      <c r="J16" s="441" t="e">
        <f t="shared" si="0"/>
        <v>#REF!</v>
      </c>
      <c r="K16" s="656" t="e">
        <f>$G$15/J16</f>
        <v>#VALUE!</v>
      </c>
      <c r="L16" s="601" t="e">
        <f>TEXT(F14/'Allgemeine Angaben'!C117,"0,00\ U\n")</f>
        <v>#REF!</v>
      </c>
      <c r="M16" s="442" t="e">
        <f>TEXT(G16,"#,##\ V")</f>
        <v>#REF!</v>
      </c>
      <c r="N16" s="601" t="e">
        <f>TEXT(I14/'Allgemeine Angaben'!C117,"0,00\ U\n")</f>
        <v>#REF!</v>
      </c>
      <c r="O16" s="442" t="e">
        <f t="shared" si="3"/>
        <v>#REF!</v>
      </c>
      <c r="Q16" s="445" t="e">
        <f>IF('Schutzprüf-Checkliste'!$M$24=TRUE, (IF(OR(K16&lt;1,K16&gt;1.02),"x","ok")), (IF(OR(H16&lt;1,H16&gt;1.02),"x","ok")))</f>
        <v>#VALUE!</v>
      </c>
      <c r="V16" s="260">
        <v>46357</v>
      </c>
    </row>
    <row r="17" spans="1:22" ht="15" customHeight="1">
      <c r="A17" s="1031"/>
      <c r="B17" s="1031"/>
      <c r="C17" s="439" t="s">
        <v>748</v>
      </c>
      <c r="D17" s="440" t="e">
        <f>INDEX(Measurements!$A$1:$X$152,(MATCH(C17,(Measurements[MeasurementName]),0)+1),9)</f>
        <v>#REF!</v>
      </c>
      <c r="E17" s="440" t="e">
        <f>INDEX(Measurements!$A$1:$X$152,(MATCH(C17,(Measurements[MeasurementName]),0)+1),10)</f>
        <v>#REF!</v>
      </c>
      <c r="F17" s="653" t="e">
        <f t="shared" si="5"/>
        <v>#REF!</v>
      </c>
      <c r="G17" s="653" t="e">
        <f t="shared" si="5"/>
        <v>#REF!</v>
      </c>
      <c r="H17" s="654" t="e">
        <f>$G$15/G17</f>
        <v>#VALUE!</v>
      </c>
      <c r="I17" s="441" t="e">
        <f t="shared" si="2"/>
        <v>#REF!</v>
      </c>
      <c r="J17" s="441" t="e">
        <f t="shared" si="0"/>
        <v>#REF!</v>
      </c>
      <c r="K17" s="656" t="e">
        <f>$G$15/J17</f>
        <v>#VALUE!</v>
      </c>
      <c r="L17" s="442"/>
      <c r="M17" s="442" t="e">
        <f>TEXT(G17,"#,##\ V")</f>
        <v>#REF!</v>
      </c>
      <c r="N17" s="442"/>
      <c r="O17" s="442" t="e">
        <f t="shared" si="3"/>
        <v>#REF!</v>
      </c>
      <c r="Q17" s="445" t="e">
        <f>IF('Schutzprüf-Checkliste'!$M$24=TRUE, (IF(OR(K17&lt;1,K17&gt;1.02),"x","ok")), (IF(OR(H17&lt;1,H17&gt;1.02),"x","ok")))</f>
        <v>#VALUE!</v>
      </c>
      <c r="V17" s="260">
        <v>46388</v>
      </c>
    </row>
    <row r="18" spans="1:22" ht="15" customHeight="1">
      <c r="A18" s="1031"/>
      <c r="B18" s="1031"/>
      <c r="C18" s="439" t="s">
        <v>749</v>
      </c>
      <c r="D18" s="440" t="e">
        <f>INDEX(Measurements!$A$1:$X$152,(MATCH(C18,(Measurements[MeasurementName]),0)+1),9)</f>
        <v>#REF!</v>
      </c>
      <c r="E18" s="440" t="e">
        <f>INDEX(Measurements!$A$1:$X$152,(MATCH(C18,(Measurements[MeasurementName]),0)+1),10)</f>
        <v>#REF!</v>
      </c>
      <c r="F18" s="653" t="e">
        <f t="shared" si="5"/>
        <v>#REF!</v>
      </c>
      <c r="G18" s="653" t="e">
        <f t="shared" si="5"/>
        <v>#REF!</v>
      </c>
      <c r="H18" s="1044" t="e">
        <f>$G$15/G18</f>
        <v>#VALUE!</v>
      </c>
      <c r="I18" s="441" t="e">
        <f t="shared" si="2"/>
        <v>#REF!</v>
      </c>
      <c r="J18" s="441" t="e">
        <f t="shared" si="0"/>
        <v>#REF!</v>
      </c>
      <c r="K18" s="656" t="e">
        <f>$G$15/J18</f>
        <v>#VALUE!</v>
      </c>
      <c r="L18" s="442"/>
      <c r="M18" s="442" t="e">
        <f t="shared" ref="M18:M24" si="6">TEXT(G18,"0,00\ V")</f>
        <v>#REF!</v>
      </c>
      <c r="N18" s="442"/>
      <c r="O18" s="442" t="e">
        <f t="shared" si="3"/>
        <v>#REF!</v>
      </c>
      <c r="Q18" s="445" t="e">
        <f>IF('Schutzprüf-Checkliste'!$M$24=TRUE, (IF(OR(K18&lt;1,K18&gt;1.02),"x","ok")), (IF(OR(H18&lt;1,H18&gt;1.02),"x","ok")))</f>
        <v>#VALUE!</v>
      </c>
      <c r="V18" s="260">
        <v>46419</v>
      </c>
    </row>
    <row r="19" spans="1:22" ht="15.75" customHeight="1" thickBot="1">
      <c r="A19" s="1031"/>
      <c r="B19" s="1031"/>
      <c r="C19" s="266" t="s">
        <v>750</v>
      </c>
      <c r="D19" s="301"/>
      <c r="E19" s="301" t="e">
        <f>INDEX(Measurements!$A$1:$X$152,(MATCH(C19,(Measurements[MeasurementName]),0)+1),10)</f>
        <v>#REF!</v>
      </c>
      <c r="F19" s="657">
        <f t="shared" si="5"/>
        <v>0</v>
      </c>
      <c r="G19" s="657" t="e">
        <f t="shared" si="5"/>
        <v>#REF!</v>
      </c>
      <c r="H19" s="1018"/>
      <c r="I19" s="267"/>
      <c r="J19" s="441" t="e">
        <f t="shared" si="0"/>
        <v>#REF!</v>
      </c>
      <c r="K19" s="658"/>
      <c r="L19" s="268"/>
      <c r="M19" s="268" t="e">
        <f t="shared" si="6"/>
        <v>#REF!</v>
      </c>
      <c r="N19" s="442"/>
      <c r="O19" s="442" t="e">
        <f t="shared" si="3"/>
        <v>#REF!</v>
      </c>
      <c r="S19" s="269"/>
      <c r="V19" s="260">
        <v>46447</v>
      </c>
    </row>
    <row r="20" spans="1:22" ht="12.75" customHeight="1">
      <c r="A20" s="1031"/>
      <c r="B20" s="1030" t="s">
        <v>352</v>
      </c>
      <c r="C20" s="270" t="s">
        <v>751</v>
      </c>
      <c r="D20" s="440" t="e">
        <f>INDEX(PlsRmp_Measurement!$A$1:$AB$69,(MATCH(C20,(PlsRmp_Measurement!E:E),0)+1),7)</f>
        <v>#N/A</v>
      </c>
      <c r="E20" s="440" t="e">
        <f>INDEX(PlsRmp_Measurement!$A$1:$AC$69,(MATCH(C20,(PlsRmp_Measurement!E:E),0)+0),10)</f>
        <v>#N/A</v>
      </c>
      <c r="F20" s="653" t="e">
        <f>D20/100</f>
        <v>#N/A</v>
      </c>
      <c r="G20" s="653" t="e">
        <f>E20/100</f>
        <v>#N/A</v>
      </c>
      <c r="H20" s="1037" t="e">
        <f>$G$21/G20</f>
        <v>#VALUE!</v>
      </c>
      <c r="I20" s="441" t="e">
        <f>F20*SQRT(3)</f>
        <v>#N/A</v>
      </c>
      <c r="J20" s="441" t="e">
        <f t="shared" si="0"/>
        <v>#N/A</v>
      </c>
      <c r="K20" s="1050" t="e">
        <f>$G$21/J20</f>
        <v>#VALUE!</v>
      </c>
      <c r="L20" s="1042" t="e">
        <f>TEXT(F20,"#,0#\ V")</f>
        <v>#N/A</v>
      </c>
      <c r="M20" s="442" t="e">
        <f t="shared" si="6"/>
        <v>#N/A</v>
      </c>
      <c r="N20" s="1042" t="e">
        <f>TEXT(I20,"#,0#\ V")</f>
        <v>#N/A</v>
      </c>
      <c r="O20" s="442" t="e">
        <f t="shared" si="3"/>
        <v>#N/A</v>
      </c>
      <c r="Q20" s="445" t="e">
        <f>IF('Schutzprüf-Checkliste'!$M$24=TRUE, (IF(OR(K20&lt;1,K20&gt;1.02),"x","ok")), (IF(OR(H20&lt;1,H20&gt;1.02),"x","ok")))</f>
        <v>#VALUE!</v>
      </c>
      <c r="S20" s="269"/>
      <c r="V20" s="260">
        <v>46478</v>
      </c>
    </row>
    <row r="21" spans="1:22" ht="15" customHeight="1">
      <c r="A21" s="1031"/>
      <c r="B21" s="1031"/>
      <c r="C21" s="439" t="s">
        <v>752</v>
      </c>
      <c r="D21" s="440"/>
      <c r="E21" s="440"/>
      <c r="F21" s="653"/>
      <c r="G21" s="653" t="str">
        <f>'Allgemeine Angaben'!C122</f>
        <v>Eingabe falsch</v>
      </c>
      <c r="H21" s="1035"/>
      <c r="I21" s="441">
        <f>F21*SQRT(3)</f>
        <v>0</v>
      </c>
      <c r="J21" s="441" t="e">
        <f t="shared" si="0"/>
        <v>#VALUE!</v>
      </c>
      <c r="K21" s="1031"/>
      <c r="L21" s="1031"/>
      <c r="M21" s="442" t="str">
        <f t="shared" si="6"/>
        <v>Eingabe falsch</v>
      </c>
      <c r="N21" s="1031"/>
      <c r="O21" s="442" t="e">
        <f t="shared" si="3"/>
        <v>#VALUE!</v>
      </c>
      <c r="S21" s="269"/>
      <c r="V21" s="260">
        <v>46508</v>
      </c>
    </row>
    <row r="22" spans="1:22" ht="15" customHeight="1">
      <c r="A22" s="1031"/>
      <c r="B22" s="1031"/>
      <c r="C22" s="271" t="s">
        <v>753</v>
      </c>
      <c r="D22" s="440" t="e">
        <f>INDEX(PlsRmp_Measurement!$A$1:$AB$69,(MATCH(C22,(PlsRmp_Measurement!E:E),0)+1),7)</f>
        <v>#N/A</v>
      </c>
      <c r="E22" s="440" t="e">
        <f>INDEX(PlsRmp_Measurement!$A$1:$AC$69,(MATCH(C22,(PlsRmp_Measurement!E:E),0)+0),10)</f>
        <v>#N/A</v>
      </c>
      <c r="F22" s="653" t="e">
        <f t="shared" ref="F22:G24" si="7">D22/100</f>
        <v>#N/A</v>
      </c>
      <c r="G22" s="653" t="e">
        <f t="shared" si="7"/>
        <v>#N/A</v>
      </c>
      <c r="H22" s="654" t="e">
        <f>$G$21/G22</f>
        <v>#VALUE!</v>
      </c>
      <c r="I22" s="441" t="e">
        <f>F22*SQRT(3)</f>
        <v>#N/A</v>
      </c>
      <c r="J22" s="441" t="e">
        <f t="shared" si="0"/>
        <v>#N/A</v>
      </c>
      <c r="K22" s="656" t="e">
        <f>$G$21/J22</f>
        <v>#VALUE!</v>
      </c>
      <c r="L22" s="601" t="e">
        <f>TEXT(F20/'Allgemeine Angaben'!C117,"0,00\ U\n")</f>
        <v>#N/A</v>
      </c>
      <c r="M22" s="442" t="e">
        <f t="shared" si="6"/>
        <v>#N/A</v>
      </c>
      <c r="N22" s="601" t="e">
        <f>TEXT(I20/'Allgemeine Angaben'!C117,"0,00\ U\n")</f>
        <v>#N/A</v>
      </c>
      <c r="O22" s="442" t="e">
        <f t="shared" si="3"/>
        <v>#N/A</v>
      </c>
      <c r="Q22" s="445" t="e">
        <f>IF('Schutzprüf-Checkliste'!$M$24=TRUE, (IF(OR(K22&lt;1,K22&gt;1.02),"x","ok")), (IF(OR(H22&lt;1,H22&gt;1.02),"x","ok")))</f>
        <v>#VALUE!</v>
      </c>
      <c r="V22" s="260">
        <v>46539</v>
      </c>
    </row>
    <row r="23" spans="1:22" ht="15" customHeight="1">
      <c r="A23" s="1031"/>
      <c r="B23" s="1031"/>
      <c r="C23" s="271" t="s">
        <v>754</v>
      </c>
      <c r="D23" s="440" t="e">
        <f>INDEX(PlsRmp_Measurement!$A$1:$AB$69,(MATCH(C23,(PlsRmp_Measurement!E:E),0)+1),7)</f>
        <v>#N/A</v>
      </c>
      <c r="E23" s="440" t="e">
        <f>INDEX(PlsRmp_Measurement!$A$1:$AC$69,(MATCH(C23,(PlsRmp_Measurement!E:E),0)+0),10)</f>
        <v>#N/A</v>
      </c>
      <c r="F23" s="653" t="e">
        <f t="shared" si="7"/>
        <v>#N/A</v>
      </c>
      <c r="G23" s="653" t="e">
        <f t="shared" si="7"/>
        <v>#N/A</v>
      </c>
      <c r="H23" s="654" t="e">
        <f>$G$21/G23</f>
        <v>#VALUE!</v>
      </c>
      <c r="I23" s="441" t="e">
        <f>F23*SQRT(3)</f>
        <v>#N/A</v>
      </c>
      <c r="J23" s="441" t="e">
        <f t="shared" si="0"/>
        <v>#N/A</v>
      </c>
      <c r="K23" s="656" t="e">
        <f>$G$21/J23</f>
        <v>#VALUE!</v>
      </c>
      <c r="L23" s="442"/>
      <c r="M23" s="442" t="e">
        <f t="shared" si="6"/>
        <v>#N/A</v>
      </c>
      <c r="N23" s="442"/>
      <c r="O23" s="442" t="e">
        <f t="shared" si="3"/>
        <v>#N/A</v>
      </c>
      <c r="Q23" s="445" t="e">
        <f>IF('Schutzprüf-Checkliste'!$M$24=TRUE, (IF(OR(K23&lt;1,K23&gt;1.02),"x","ok")), (IF(OR(H23&lt;1,H23&gt;1.02),"x","ok")))</f>
        <v>#VALUE!</v>
      </c>
      <c r="V23" s="260">
        <v>46569</v>
      </c>
    </row>
    <row r="24" spans="1:22" ht="15.75" customHeight="1" thickBot="1">
      <c r="A24" s="1031"/>
      <c r="B24" s="1031"/>
      <c r="C24" s="271" t="s">
        <v>755</v>
      </c>
      <c r="D24" s="440" t="e">
        <f>INDEX(PlsRmp_Measurement!$A$1:$AB$69,(MATCH("Betrag U L1-E*fU L2-E*fU L3-E",(PlsRmp_Measurement!E:E),0)+0),7)</f>
        <v>#N/A</v>
      </c>
      <c r="E24" s="440" t="e">
        <f>INDEX(PlsRmp_Measurement!$A$1:$AC$69,(MATCH("Betrag U L1-E*fU L2-E*fU L3-E",(PlsRmp_Measurement!E:E),0)+0),10)</f>
        <v>#N/A</v>
      </c>
      <c r="F24" s="653" t="e">
        <f t="shared" si="7"/>
        <v>#N/A</v>
      </c>
      <c r="G24" s="653" t="e">
        <f t="shared" si="7"/>
        <v>#N/A</v>
      </c>
      <c r="H24" s="654" t="e">
        <f>$G$21/G24</f>
        <v>#VALUE!</v>
      </c>
      <c r="I24" s="441" t="e">
        <f>F24*SQRT(3)</f>
        <v>#N/A</v>
      </c>
      <c r="J24" s="441" t="e">
        <f t="shared" si="0"/>
        <v>#N/A</v>
      </c>
      <c r="K24" s="655" t="e">
        <f>$G$21/J24</f>
        <v>#VALUE!</v>
      </c>
      <c r="L24" s="442"/>
      <c r="M24" s="442" t="e">
        <f t="shared" si="6"/>
        <v>#N/A</v>
      </c>
      <c r="N24" s="442"/>
      <c r="O24" s="442" t="e">
        <f t="shared" si="3"/>
        <v>#N/A</v>
      </c>
      <c r="Q24" s="445" t="e">
        <f>IF('Schutzprüf-Checkliste'!$M$24=TRUE, (IF(OR(K24&lt;1,K24&gt;1.02),"x","ok")), (IF(OR(H24&lt;1,H24&gt;1.02),"x","ok")))</f>
        <v>#VALUE!</v>
      </c>
      <c r="V24" s="260">
        <v>46600</v>
      </c>
    </row>
    <row r="25" spans="1:22" ht="15" customHeight="1">
      <c r="A25" s="1033" t="s">
        <v>625</v>
      </c>
      <c r="B25" s="1033" t="s">
        <v>409</v>
      </c>
      <c r="C25" s="263" t="s">
        <v>756</v>
      </c>
      <c r="D25" s="300" t="e">
        <f>INDEX(Measurements!$A$1:$X$152,(MATCH(C25,(Measurements[MeasurementName]),0)+1),9)</f>
        <v>#REF!</v>
      </c>
      <c r="E25" s="300" t="e">
        <f>INDEX(Measurements!$A$1:$X$152,(MATCH(C25,(Measurements[MeasurementName]),0)+1),10)</f>
        <v>#REF!</v>
      </c>
      <c r="F25" s="661" t="str">
        <f>IF(IFERROR(INDEX(Measurements!$A$1:$X$152,(MATCH(C25,(Measurements[MeasurementName]),0)+1),9),),D25/1000000,"-")</f>
        <v>-</v>
      </c>
      <c r="G25" s="661" t="str">
        <f>IF(IFERROR(INDEX(Measurements!$A$1:$X$152,(MATCH(C25,(Measurements[MeasurementName]),0)+1),9),),E25/1000000,"-")</f>
        <v>-</v>
      </c>
      <c r="H25" s="662"/>
      <c r="I25" s="264" t="e">
        <f t="shared" ref="I25:J29" si="8">ROUND(F25,3)</f>
        <v>#VALUE!</v>
      </c>
      <c r="J25" s="264" t="e">
        <f t="shared" si="8"/>
        <v>#VALUE!</v>
      </c>
      <c r="K25" s="264"/>
      <c r="L25" s="1047" t="e">
        <f>I25&amp;" Hz"</f>
        <v>#VALUE!</v>
      </c>
      <c r="M25" s="265" t="str">
        <f>TEXT(G25,"#,##\ \H\z")</f>
        <v>-</v>
      </c>
      <c r="N25" s="442"/>
      <c r="O25" s="442"/>
      <c r="V25" s="260">
        <v>46631</v>
      </c>
    </row>
    <row r="26" spans="1:22" ht="15" customHeight="1">
      <c r="A26" s="1031"/>
      <c r="B26" s="1031"/>
      <c r="C26" s="439" t="s">
        <v>757</v>
      </c>
      <c r="D26" s="440" t="e">
        <f>INDEX(Measurements!$A$1:$X$152,(MATCH(C26,(Measurements[MeasurementName]),0)+1),9)</f>
        <v>#REF!</v>
      </c>
      <c r="E26" s="440" t="e">
        <f>INDEX(Measurements!$A$1:$X$152,(MATCH(C26,(Measurements[MeasurementName]),0)+1),10)</f>
        <v>#REF!</v>
      </c>
      <c r="F26" s="663" t="str">
        <f>IF(IFERROR(INDEX(Measurements!$A$1:$X$152,(MATCH(C26,(Measurements[MeasurementName]),0)+1),9),),D26/1000000,"-")</f>
        <v>-</v>
      </c>
      <c r="G26" s="663" t="str">
        <f>IF(IFERROR(INDEX(Measurements!$A$1:$X$152,(MATCH(C26,(Measurements[MeasurementName]),0)+1),9),),E26/1000000,"-")</f>
        <v>-</v>
      </c>
      <c r="I26" s="441" t="e">
        <f t="shared" si="8"/>
        <v>#VALUE!</v>
      </c>
      <c r="J26" s="441" t="e">
        <f t="shared" si="8"/>
        <v>#VALUE!</v>
      </c>
      <c r="K26" s="441"/>
      <c r="L26" s="1031"/>
      <c r="M26" s="442" t="str">
        <f>TEXT(G26,"#,##\ \H\z")</f>
        <v>-</v>
      </c>
      <c r="N26" s="442"/>
      <c r="O26" s="442"/>
      <c r="V26" s="260">
        <v>46661</v>
      </c>
    </row>
    <row r="27" spans="1:22" ht="15" customHeight="1">
      <c r="A27" s="1031"/>
      <c r="B27" s="1030" t="s">
        <v>410</v>
      </c>
      <c r="C27" s="439" t="s">
        <v>758</v>
      </c>
      <c r="D27" s="440" t="e">
        <f>INDEX(Measurements!$A$1:$X$152,(MATCH(C27,(Measurements[MeasurementName]),0)+1),9)</f>
        <v>#REF!</v>
      </c>
      <c r="E27" s="440" t="e">
        <f>INDEX(Measurements!$A$1:$X$152,(MATCH(C27,(Measurements[MeasurementName]),0)+1),10)</f>
        <v>#REF!</v>
      </c>
      <c r="F27" s="663" t="str">
        <f>IF(IFERROR(INDEX(Measurements!$A$1:$X$152,(MATCH(C27,(Measurements[MeasurementName]),0)+1),9),),D27/1000000,"-")</f>
        <v>-</v>
      </c>
      <c r="G27" s="663" t="str">
        <f>IF(IFERROR(INDEX(Measurements!$A$1:$X$152,(MATCH(C27,(Measurements[MeasurementName]),0)+1),9),),E27/1000000,"-")</f>
        <v>-</v>
      </c>
      <c r="I27" s="441" t="e">
        <f t="shared" si="8"/>
        <v>#VALUE!</v>
      </c>
      <c r="J27" s="441" t="e">
        <f t="shared" si="8"/>
        <v>#VALUE!</v>
      </c>
      <c r="K27" s="441"/>
      <c r="L27" s="1051" t="e">
        <f>I27&amp;" Hz"</f>
        <v>#VALUE!</v>
      </c>
      <c r="M27" s="442" t="str">
        <f>TEXT(G27,"#,##\ \H\z")</f>
        <v>-</v>
      </c>
      <c r="N27" s="442"/>
      <c r="O27" s="442"/>
      <c r="V27" s="260">
        <v>46692</v>
      </c>
    </row>
    <row r="28" spans="1:22" ht="15" customHeight="1">
      <c r="A28" s="1031"/>
      <c r="B28" s="1031"/>
      <c r="C28" s="439" t="s">
        <v>759</v>
      </c>
      <c r="D28" s="440" t="e">
        <f>INDEX(Measurements!$A$1:$X$152,(MATCH(C28,(Measurements[MeasurementName]),0)+1),9)</f>
        <v>#REF!</v>
      </c>
      <c r="E28" s="440" t="e">
        <f>INDEX(Measurements!$A$1:$X$152,(MATCH(C28,(Measurements[MeasurementName]),0)+1),10)</f>
        <v>#REF!</v>
      </c>
      <c r="F28" s="663" t="str">
        <f>IF(IFERROR(INDEX(Measurements!$A$1:$X$152,(MATCH(C28,(Measurements[MeasurementName]),0)+1),9),),D28/1000000,"-")</f>
        <v>-</v>
      </c>
      <c r="G28" s="663" t="str">
        <f>IF(IFERROR(INDEX(Measurements!$A$1:$X$152,(MATCH(C28,(Measurements[MeasurementName]),0)+1),9),),E28/1000000,"-")</f>
        <v>-</v>
      </c>
      <c r="I28" s="441" t="e">
        <f t="shared" si="8"/>
        <v>#VALUE!</v>
      </c>
      <c r="J28" s="441" t="e">
        <f t="shared" si="8"/>
        <v>#VALUE!</v>
      </c>
      <c r="K28" s="441"/>
      <c r="L28" s="1031"/>
      <c r="M28" s="442" t="str">
        <f>TEXT(G28,"#,##\ \H\z")</f>
        <v>-</v>
      </c>
      <c r="N28" s="442"/>
      <c r="O28" s="442"/>
      <c r="V28" s="260">
        <v>46722</v>
      </c>
    </row>
    <row r="29" spans="1:22" ht="19.5" customHeight="1">
      <c r="A29" s="600"/>
      <c r="B29" s="600" t="s">
        <v>537</v>
      </c>
      <c r="C29" s="439" t="s">
        <v>760</v>
      </c>
      <c r="D29" s="440" t="e">
        <f>INDEX(PlsRmp_Measurement!$A$1:$AB$69,(MATCH("Frequenz U L1-E*fU L2-E*fU L3-E",(PlsRmp_Measurement!E:E),0)+0),7)</f>
        <v>#N/A</v>
      </c>
      <c r="E29" s="440" t="e">
        <f>INDEX(PlsRmp_Measurement!$A$1:$AB$69,(MATCH("Frequenz U L1-E*fU L2-E*fU L3-E",(PlsRmp_Measurement!E:E),0)+0),10)</f>
        <v>#N/A</v>
      </c>
      <c r="F29" s="663" t="str">
        <f>IF(IFERROR(INDEX(PlsRmp_Measurement!$A$1:$AB$69,(MATCH("Frequenz U L1-E*fU L2-E*fU L3-E",(PlsRmp_Measurement!E:E),0)+0),7),),D29/100,"-")</f>
        <v>-</v>
      </c>
      <c r="G29" s="663" t="str">
        <f>IF(IFERROR(INDEX(PlsRmp_Measurement!$A$1:$AB$69,(MATCH("Frequenz U L1-E*fU L2-E*fU L3-E",(PlsRmp_Measurement!E:E),0)+0),7),),E29/100,"-")</f>
        <v>-</v>
      </c>
      <c r="I29" s="441" t="e">
        <f t="shared" si="8"/>
        <v>#VALUE!</v>
      </c>
      <c r="J29" s="441" t="e">
        <f t="shared" si="8"/>
        <v>#VALUE!</v>
      </c>
      <c r="K29" s="441"/>
      <c r="L29" s="442" t="str">
        <f>TEXT(F29,"#,##\ \H\z")</f>
        <v>-</v>
      </c>
      <c r="M29" s="442" t="str">
        <f>TEXT(G29,"#,##\ \H\z")</f>
        <v>-</v>
      </c>
      <c r="N29" s="442"/>
      <c r="O29" s="442"/>
      <c r="V29" s="260">
        <v>46753</v>
      </c>
    </row>
    <row r="30" spans="1:22" ht="15" customHeight="1">
      <c r="C30" s="439"/>
      <c r="D30" s="34"/>
      <c r="E30" s="42"/>
      <c r="F30" s="272"/>
      <c r="G30" s="653"/>
      <c r="I30" s="664"/>
      <c r="J30" s="272"/>
      <c r="K30" s="272"/>
      <c r="V30" s="260">
        <v>46784</v>
      </c>
    </row>
    <row r="31" spans="1:22" ht="15" customHeight="1">
      <c r="A31" s="273"/>
      <c r="B31" s="273"/>
      <c r="C31" s="274"/>
      <c r="D31" s="47"/>
      <c r="E31" s="47"/>
      <c r="F31" s="272"/>
      <c r="G31" s="653"/>
      <c r="H31" s="665"/>
      <c r="I31" s="666"/>
      <c r="J31" s="273"/>
      <c r="K31" s="273"/>
      <c r="L31" s="273"/>
      <c r="M31" s="273"/>
      <c r="N31" s="273"/>
      <c r="O31" s="273"/>
      <c r="V31" s="260">
        <v>46813</v>
      </c>
    </row>
    <row r="32" spans="1:22" ht="25.5" customHeight="1">
      <c r="A32" s="1030" t="s">
        <v>264</v>
      </c>
      <c r="B32" s="1030" t="s">
        <v>346</v>
      </c>
      <c r="C32" s="275" t="s">
        <v>761</v>
      </c>
      <c r="D32" s="440" t="e">
        <f>INDEX(Seq_Measurement!$A$1:$BE$240,(MATCH(C32,Seq_Measurement!D:D,0)+0),8)</f>
        <v>#N/A</v>
      </c>
      <c r="E32" s="440" t="e">
        <f>INDEX(Seq_Measurement!$A$1:$Y$249,(MATCH(C32,Seq_Measurement!D:D,0)+0),11)</f>
        <v>#N/A</v>
      </c>
      <c r="F32" s="653" t="e">
        <f t="shared" ref="F32:F47" si="9">D32/10000</f>
        <v>#N/A</v>
      </c>
      <c r="G32" s="653" t="e">
        <f t="shared" ref="G32:G47" si="10">E32/10000</f>
        <v>#N/A</v>
      </c>
      <c r="H32" s="1034"/>
      <c r="I32" s="1035"/>
      <c r="J32" s="1031"/>
      <c r="K32" s="667"/>
      <c r="L32" s="1042" t="e">
        <f>TEXT(F32,"0,00 \s")</f>
        <v>#N/A</v>
      </c>
      <c r="M32" s="442" t="e">
        <f t="shared" ref="M32:M39" si="11">TEXT(G32,"0,000 \s")</f>
        <v>#N/A</v>
      </c>
      <c r="N32" s="442"/>
      <c r="O32" s="442"/>
      <c r="S32" s="276"/>
      <c r="V32" s="260">
        <v>46844</v>
      </c>
    </row>
    <row r="33" spans="1:22" ht="25.5" customHeight="1">
      <c r="A33" s="1031"/>
      <c r="B33" s="1031"/>
      <c r="C33" s="277" t="s">
        <v>762</v>
      </c>
      <c r="D33" s="440" t="e">
        <f>INDEX(Seq_Measurement!$A$1:$BE$240,(MATCH(C33,Seq_Measurement!D:D,0)+0),8)</f>
        <v>#N/A</v>
      </c>
      <c r="E33" s="440" t="e">
        <f>INDEX(Seq_Measurement!$A$1:$Y$249,(MATCH(C33,Seq_Measurement!D:D,0)+0),11)</f>
        <v>#N/A</v>
      </c>
      <c r="F33" s="653" t="e">
        <f t="shared" si="9"/>
        <v>#N/A</v>
      </c>
      <c r="G33" s="653" t="e">
        <f t="shared" si="10"/>
        <v>#N/A</v>
      </c>
      <c r="H33" s="1035"/>
      <c r="I33" s="1035"/>
      <c r="J33" s="1031"/>
      <c r="K33" s="667"/>
      <c r="L33" s="1031"/>
      <c r="M33" s="442" t="e">
        <f t="shared" si="11"/>
        <v>#N/A</v>
      </c>
      <c r="N33" s="442"/>
      <c r="O33" s="442"/>
      <c r="S33" s="276" t="s">
        <v>347</v>
      </c>
      <c r="V33" s="260">
        <v>46874</v>
      </c>
    </row>
    <row r="34" spans="1:22" ht="15" customHeight="1">
      <c r="A34" s="1031"/>
      <c r="B34" s="1031"/>
      <c r="C34" s="275" t="s">
        <v>763</v>
      </c>
      <c r="D34" s="440" t="e">
        <f>INDEX(Seq_Measurement!$A$1:$BE$240,(MATCH(C34,Seq_Measurement!D:D,0)+0),8)</f>
        <v>#N/A</v>
      </c>
      <c r="E34" s="440" t="e">
        <f>INDEX(Seq_Measurement!$A$1:$Y$249,(MATCH(C34,Seq_Measurement!D:D,0)+0),11)</f>
        <v>#N/A</v>
      </c>
      <c r="F34" s="653" t="e">
        <f t="shared" si="9"/>
        <v>#N/A</v>
      </c>
      <c r="G34" s="653" t="e">
        <f t="shared" si="10"/>
        <v>#N/A</v>
      </c>
      <c r="H34" s="1035"/>
      <c r="I34" s="1035"/>
      <c r="J34" s="1031"/>
      <c r="K34" s="667"/>
      <c r="L34" s="1031"/>
      <c r="M34" s="442" t="e">
        <f t="shared" si="11"/>
        <v>#N/A</v>
      </c>
      <c r="N34" s="442"/>
      <c r="O34" s="442"/>
      <c r="S34" s="276"/>
      <c r="V34" s="260">
        <v>46905</v>
      </c>
    </row>
    <row r="35" spans="1:22" ht="25.5" customHeight="1">
      <c r="A35" s="1031"/>
      <c r="B35" s="1031"/>
      <c r="C35" s="277" t="s">
        <v>764</v>
      </c>
      <c r="D35" s="440" t="e">
        <f>INDEX(Seq_Measurement!$A$1:$BE$240,(MATCH(C35,Seq_Measurement!D:D,0)+0),8)</f>
        <v>#N/A</v>
      </c>
      <c r="E35" s="440" t="e">
        <f>INDEX(Seq_Measurement!$A$1:$Y$249,(MATCH(C35,Seq_Measurement!D:D,0)+0),11)</f>
        <v>#N/A</v>
      </c>
      <c r="F35" s="653" t="e">
        <f t="shared" si="9"/>
        <v>#N/A</v>
      </c>
      <c r="G35" s="653" t="e">
        <f t="shared" si="10"/>
        <v>#N/A</v>
      </c>
      <c r="H35" s="1035"/>
      <c r="I35" s="1035"/>
      <c r="J35" s="1031"/>
      <c r="K35" s="667"/>
      <c r="L35" s="1031"/>
      <c r="M35" s="442" t="e">
        <f t="shared" si="11"/>
        <v>#N/A</v>
      </c>
      <c r="N35" s="442"/>
      <c r="O35" s="442"/>
      <c r="S35" s="276" t="s">
        <v>351</v>
      </c>
      <c r="V35" s="260">
        <v>46935</v>
      </c>
    </row>
    <row r="36" spans="1:22" ht="15" customHeight="1">
      <c r="A36" s="1031"/>
      <c r="B36" s="1030" t="s">
        <v>349</v>
      </c>
      <c r="C36" s="275" t="s">
        <v>765</v>
      </c>
      <c r="D36" s="440" t="e">
        <f>INDEX(Seq_Measurement!$A$1:$BE$240,(MATCH(C36,Seq_Measurement!D:D,0)+0),8)</f>
        <v>#N/A</v>
      </c>
      <c r="E36" s="440" t="e">
        <f>INDEX(Seq_Measurement!$A$1:$Y$249,(MATCH(C36,Seq_Measurement!D:D,0)+0),11)</f>
        <v>#N/A</v>
      </c>
      <c r="F36" s="653" t="e">
        <f t="shared" si="9"/>
        <v>#N/A</v>
      </c>
      <c r="G36" s="653" t="e">
        <f t="shared" si="10"/>
        <v>#N/A</v>
      </c>
      <c r="H36" s="1035"/>
      <c r="I36" s="1035"/>
      <c r="J36" s="1031"/>
      <c r="K36" s="667"/>
      <c r="L36" s="1042" t="e">
        <f>TEXT(F36,"0,00 \s")</f>
        <v>#N/A</v>
      </c>
      <c r="M36" s="442" t="e">
        <f t="shared" si="11"/>
        <v>#N/A</v>
      </c>
      <c r="N36" s="442"/>
      <c r="O36" s="442"/>
      <c r="S36" s="276"/>
      <c r="V36" s="260"/>
    </row>
    <row r="37" spans="1:22" ht="15" customHeight="1">
      <c r="A37" s="1031"/>
      <c r="B37" s="1031"/>
      <c r="C37" s="277" t="s">
        <v>766</v>
      </c>
      <c r="D37" s="440" t="e">
        <f>INDEX(Seq_Measurement!$A$1:$BE$240,(MATCH(C37,Seq_Measurement!D:D,0)+0),8)</f>
        <v>#N/A</v>
      </c>
      <c r="E37" s="440" t="e">
        <f>INDEX(Seq_Measurement!$A$1:$Y$249,(MATCH(C37,Seq_Measurement!D:D,0)+0),11)</f>
        <v>#N/A</v>
      </c>
      <c r="F37" s="653" t="e">
        <f t="shared" si="9"/>
        <v>#N/A</v>
      </c>
      <c r="G37" s="653" t="e">
        <f t="shared" si="10"/>
        <v>#N/A</v>
      </c>
      <c r="H37" s="1035"/>
      <c r="I37" s="1035"/>
      <c r="J37" s="1031"/>
      <c r="K37" s="667"/>
      <c r="L37" s="1031"/>
      <c r="M37" s="442" t="e">
        <f t="shared" si="11"/>
        <v>#N/A</v>
      </c>
      <c r="N37" s="442"/>
      <c r="O37" s="442"/>
      <c r="S37" s="276"/>
      <c r="V37" s="260"/>
    </row>
    <row r="38" spans="1:22" ht="15" customHeight="1">
      <c r="A38" s="1031"/>
      <c r="B38" s="1031"/>
      <c r="C38" s="275" t="s">
        <v>767</v>
      </c>
      <c r="D38" s="440" t="e">
        <f>INDEX(Seq_Measurement!$A$1:$BE$240,(MATCH(C38,Seq_Measurement!D:D,0)+0),8)</f>
        <v>#N/A</v>
      </c>
      <c r="E38" s="440" t="e">
        <f>INDEX(Seq_Measurement!$A$1:$Y$249,(MATCH(C38,Seq_Measurement!D:D,0)+0),11)</f>
        <v>#N/A</v>
      </c>
      <c r="F38" s="653" t="e">
        <f t="shared" si="9"/>
        <v>#N/A</v>
      </c>
      <c r="G38" s="653" t="e">
        <f t="shared" si="10"/>
        <v>#N/A</v>
      </c>
      <c r="H38" s="1035"/>
      <c r="I38" s="1035"/>
      <c r="J38" s="1031"/>
      <c r="K38" s="667"/>
      <c r="L38" s="1031"/>
      <c r="M38" s="442" t="e">
        <f t="shared" si="11"/>
        <v>#N/A</v>
      </c>
      <c r="N38" s="442"/>
      <c r="O38" s="442"/>
      <c r="S38" s="276"/>
      <c r="V38" s="260"/>
    </row>
    <row r="39" spans="1:22" ht="15" customHeight="1">
      <c r="A39" s="1031"/>
      <c r="B39" s="1031"/>
      <c r="C39" s="277" t="s">
        <v>768</v>
      </c>
      <c r="D39" s="440" t="e">
        <f>INDEX(Seq_Measurement!$A$1:$BE$240,(MATCH(C39,Seq_Measurement!D:D,0)+0),8)</f>
        <v>#N/A</v>
      </c>
      <c r="E39" s="440" t="e">
        <f>INDEX(Seq_Measurement!$A$1:$Y$249,(MATCH(C39,Seq_Measurement!D:D,0)+0),11)</f>
        <v>#N/A</v>
      </c>
      <c r="F39" s="653" t="e">
        <f t="shared" si="9"/>
        <v>#N/A</v>
      </c>
      <c r="G39" s="653" t="e">
        <f t="shared" si="10"/>
        <v>#N/A</v>
      </c>
      <c r="H39" s="1035"/>
      <c r="I39" s="1035"/>
      <c r="J39" s="1031"/>
      <c r="K39" s="667"/>
      <c r="L39" s="1031"/>
      <c r="M39" s="442" t="e">
        <f t="shared" si="11"/>
        <v>#N/A</v>
      </c>
      <c r="N39" s="442"/>
      <c r="O39" s="442"/>
      <c r="S39" s="276"/>
      <c r="V39" s="260"/>
    </row>
    <row r="40" spans="1:22" ht="15" customHeight="1">
      <c r="A40" s="1031"/>
      <c r="B40" s="1030" t="s">
        <v>304</v>
      </c>
      <c r="C40" s="275" t="s">
        <v>769</v>
      </c>
      <c r="D40" s="440" t="e">
        <f>INDEX(Seq_Measurement!$A$1:$BE$240,(MATCH(C40,Seq_Measurement!D:D,0)+0),8)</f>
        <v>#N/A</v>
      </c>
      <c r="E40" s="440" t="e">
        <f>INDEX(Seq_Measurement!$A$1:$Y$249,(MATCH(C40,Seq_Measurement!D:D,0)+0),11)</f>
        <v>#N/A</v>
      </c>
      <c r="F40" s="653" t="e">
        <f t="shared" si="9"/>
        <v>#N/A</v>
      </c>
      <c r="G40" s="653" t="e">
        <f t="shared" si="10"/>
        <v>#N/A</v>
      </c>
      <c r="H40" s="1035"/>
      <c r="I40" s="1035"/>
      <c r="J40" s="1031"/>
      <c r="K40" s="667"/>
      <c r="L40" s="1042" t="e">
        <f>TEXT(F40,"0,00 \s")</f>
        <v>#N/A</v>
      </c>
      <c r="M40" s="442" t="e">
        <f t="shared" ref="M40:M47" si="12">TEXT(G40,"0,#00 \s")</f>
        <v>#N/A</v>
      </c>
      <c r="N40" s="442"/>
      <c r="O40" s="442"/>
      <c r="S40" s="276"/>
      <c r="V40" s="260">
        <v>46966</v>
      </c>
    </row>
    <row r="41" spans="1:22" ht="15" customHeight="1">
      <c r="A41" s="1031"/>
      <c r="B41" s="1031"/>
      <c r="C41" s="277" t="s">
        <v>770</v>
      </c>
      <c r="D41" s="440" t="e">
        <f>INDEX(Seq_Measurement!$A$1:$BE$240,(MATCH(C41,Seq_Measurement!D:D,0)+0),8)</f>
        <v>#N/A</v>
      </c>
      <c r="E41" s="440" t="e">
        <f>INDEX(Seq_Measurement!$A$1:$Y$249,(MATCH(C41,Seq_Measurement!D:D,0)+0),11)</f>
        <v>#N/A</v>
      </c>
      <c r="F41" s="653" t="e">
        <f t="shared" si="9"/>
        <v>#N/A</v>
      </c>
      <c r="G41" s="653" t="e">
        <f t="shared" si="10"/>
        <v>#N/A</v>
      </c>
      <c r="H41" s="1035"/>
      <c r="I41" s="1035"/>
      <c r="J41" s="1031"/>
      <c r="K41" s="667"/>
      <c r="L41" s="1031"/>
      <c r="M41" s="442" t="e">
        <f t="shared" si="12"/>
        <v>#N/A</v>
      </c>
      <c r="N41" s="442"/>
      <c r="O41" s="442"/>
      <c r="S41" s="276"/>
      <c r="V41" s="260">
        <v>46997</v>
      </c>
    </row>
    <row r="42" spans="1:22" ht="15" customHeight="1">
      <c r="A42" s="1031"/>
      <c r="B42" s="1031"/>
      <c r="C42" s="275" t="s">
        <v>771</v>
      </c>
      <c r="D42" s="440" t="e">
        <f>INDEX(Seq_Measurement!$A$1:$BE$240,(MATCH(C42,Seq_Measurement!D:D,0)+0),8)</f>
        <v>#N/A</v>
      </c>
      <c r="E42" s="440" t="e">
        <f>INDEX(Seq_Measurement!$A$1:$Y$249,(MATCH(C42,Seq_Measurement!D:D,0)+0),11)</f>
        <v>#N/A</v>
      </c>
      <c r="F42" s="653" t="e">
        <f t="shared" si="9"/>
        <v>#N/A</v>
      </c>
      <c r="G42" s="653" t="e">
        <f t="shared" si="10"/>
        <v>#N/A</v>
      </c>
      <c r="H42" s="1035"/>
      <c r="I42" s="1035"/>
      <c r="J42" s="1031"/>
      <c r="K42" s="667"/>
      <c r="L42" s="1031"/>
      <c r="M42" s="442" t="e">
        <f t="shared" si="12"/>
        <v>#N/A</v>
      </c>
      <c r="N42" s="442"/>
      <c r="O42" s="442"/>
      <c r="S42" s="276"/>
      <c r="V42" s="260">
        <v>47027</v>
      </c>
    </row>
    <row r="43" spans="1:22" ht="15" customHeight="1">
      <c r="A43" s="1031"/>
      <c r="B43" s="1031"/>
      <c r="C43" s="277" t="s">
        <v>772</v>
      </c>
      <c r="D43" s="440" t="e">
        <f>INDEX(Seq_Measurement!$A$1:$BE$240,(MATCH(C43,Seq_Measurement!D:D,0)+0),8)</f>
        <v>#N/A</v>
      </c>
      <c r="E43" s="440" t="e">
        <f>INDEX(Seq_Measurement!$A$1:$Y$249,(MATCH(C43,Seq_Measurement!D:D,0)+0),11)</f>
        <v>#N/A</v>
      </c>
      <c r="F43" s="653" t="e">
        <f t="shared" si="9"/>
        <v>#N/A</v>
      </c>
      <c r="G43" s="653" t="e">
        <f t="shared" si="10"/>
        <v>#N/A</v>
      </c>
      <c r="H43" s="1035"/>
      <c r="I43" s="1035"/>
      <c r="J43" s="1031"/>
      <c r="K43" s="667"/>
      <c r="L43" s="1031"/>
      <c r="M43" s="442" t="e">
        <f t="shared" si="12"/>
        <v>#N/A</v>
      </c>
      <c r="N43" s="442"/>
      <c r="O43" s="442"/>
      <c r="S43" s="276"/>
      <c r="V43" s="260">
        <v>47058</v>
      </c>
    </row>
    <row r="44" spans="1:22" ht="15" customHeight="1">
      <c r="A44" s="1031"/>
      <c r="B44" s="1030" t="s">
        <v>352</v>
      </c>
      <c r="C44" s="275" t="s">
        <v>773</v>
      </c>
      <c r="D44" s="440" t="e">
        <f>INDEX(Seq_Measurement!$A$1:$BE$240,(MATCH(C44,Seq_Measurement!D:D,0)+0),8)</f>
        <v>#N/A</v>
      </c>
      <c r="E44" s="440" t="e">
        <f>INDEX(Seq_Measurement!$A$1:$Y$249,(MATCH(C44,Seq_Measurement!D:D,0)+0),11)</f>
        <v>#N/A</v>
      </c>
      <c r="F44" s="653" t="e">
        <f t="shared" si="9"/>
        <v>#N/A</v>
      </c>
      <c r="G44" s="653" t="e">
        <f t="shared" si="10"/>
        <v>#N/A</v>
      </c>
      <c r="H44" s="1035"/>
      <c r="I44" s="1035"/>
      <c r="J44" s="1031"/>
      <c r="K44" s="667"/>
      <c r="L44" s="1042" t="e">
        <f>TEXT(F44,"0,00 \s")</f>
        <v>#N/A</v>
      </c>
      <c r="M44" s="442" t="e">
        <f t="shared" si="12"/>
        <v>#N/A</v>
      </c>
      <c r="N44" s="442"/>
      <c r="O44" s="442"/>
      <c r="V44" s="260">
        <v>47088</v>
      </c>
    </row>
    <row r="45" spans="1:22" ht="15" customHeight="1">
      <c r="A45" s="1031"/>
      <c r="B45" s="1031"/>
      <c r="C45" s="277" t="s">
        <v>774</v>
      </c>
      <c r="D45" s="440" t="e">
        <f>INDEX(Seq_Measurement!$A$1:$BE$240,(MATCH(C45,Seq_Measurement!D:D,0)+0),8)</f>
        <v>#N/A</v>
      </c>
      <c r="E45" s="440" t="e">
        <f>INDEX(Seq_Measurement!$A$1:$Y$249,(MATCH(C45,Seq_Measurement!D:D,0)+0),11)</f>
        <v>#N/A</v>
      </c>
      <c r="F45" s="653" t="e">
        <f t="shared" si="9"/>
        <v>#N/A</v>
      </c>
      <c r="G45" s="653" t="e">
        <f t="shared" si="10"/>
        <v>#N/A</v>
      </c>
      <c r="H45" s="1035"/>
      <c r="I45" s="1035"/>
      <c r="J45" s="1031"/>
      <c r="K45" s="667"/>
      <c r="L45" s="1031"/>
      <c r="M45" s="442" t="e">
        <f t="shared" si="12"/>
        <v>#N/A</v>
      </c>
      <c r="N45" s="442"/>
      <c r="O45" s="442"/>
      <c r="V45" s="260">
        <v>47119</v>
      </c>
    </row>
    <row r="46" spans="1:22" ht="15" customHeight="1">
      <c r="A46" s="1031"/>
      <c r="B46" s="1031"/>
      <c r="C46" s="275" t="s">
        <v>775</v>
      </c>
      <c r="D46" s="440" t="e">
        <f>INDEX(Seq_Measurement!$A$1:$BE$240,(MATCH(C46,Seq_Measurement!D:D,0)+0),8)</f>
        <v>#N/A</v>
      </c>
      <c r="E46" s="440" t="e">
        <f>INDEX(Seq_Measurement!$A$1:$Y$249,(MATCH(C46,Seq_Measurement!D:D,0)+0),11)</f>
        <v>#N/A</v>
      </c>
      <c r="F46" s="653" t="e">
        <f t="shared" si="9"/>
        <v>#N/A</v>
      </c>
      <c r="G46" s="653" t="e">
        <f t="shared" si="10"/>
        <v>#N/A</v>
      </c>
      <c r="H46" s="1035"/>
      <c r="I46" s="1035"/>
      <c r="J46" s="1031"/>
      <c r="K46" s="667"/>
      <c r="L46" s="1031"/>
      <c r="M46" s="442" t="e">
        <f t="shared" si="12"/>
        <v>#N/A</v>
      </c>
      <c r="N46" s="442"/>
      <c r="O46" s="442"/>
      <c r="V46" s="260">
        <v>47150</v>
      </c>
    </row>
    <row r="47" spans="1:22" ht="15" customHeight="1">
      <c r="A47" s="1031"/>
      <c r="B47" s="1031"/>
      <c r="C47" s="277" t="s">
        <v>776</v>
      </c>
      <c r="D47" s="440" t="e">
        <f>INDEX(Seq_Measurement!$A$1:$BE$240,(MATCH(C47,Seq_Measurement!D:D,0)+0),8)</f>
        <v>#N/A</v>
      </c>
      <c r="E47" s="440" t="e">
        <f>INDEX(Seq_Measurement!$A$1:$Y$249,(MATCH(C47,Seq_Measurement!D:D,0)+0),11)</f>
        <v>#N/A</v>
      </c>
      <c r="F47" s="653" t="e">
        <f t="shared" si="9"/>
        <v>#N/A</v>
      </c>
      <c r="G47" s="653" t="e">
        <f t="shared" si="10"/>
        <v>#N/A</v>
      </c>
      <c r="H47" s="1035"/>
      <c r="I47" s="1035"/>
      <c r="J47" s="1031"/>
      <c r="K47" s="667"/>
      <c r="L47" s="1031"/>
      <c r="M47" s="442" t="e">
        <f t="shared" si="12"/>
        <v>#N/A</v>
      </c>
      <c r="N47" s="442"/>
      <c r="O47" s="442"/>
      <c r="V47" s="260">
        <v>47178</v>
      </c>
    </row>
    <row r="48" spans="1:22" ht="25.5" customHeight="1">
      <c r="A48" s="1030" t="s">
        <v>666</v>
      </c>
      <c r="B48" s="278" t="s">
        <v>409</v>
      </c>
      <c r="C48" s="279" t="s">
        <v>777</v>
      </c>
      <c r="D48" s="440" t="e">
        <f>INDEX(Seq_Measurement!$A$1:$BE$240,(MATCH(C48,Seq_Measurement!D:D,0)+0),8)</f>
        <v>#N/A</v>
      </c>
      <c r="E48" s="440" t="e">
        <f>INDEX(Seq_Measurement!$A$1:$Y$249,(MATCH(C48,Seq_Measurement!D:D,0)+0),11)</f>
        <v>#N/A</v>
      </c>
      <c r="F48" s="663" t="str">
        <f>IF(IFERROR(INDEX(Seq_Measurement!$A$1:$Y$249,(MATCH(C48,Seq_Measurement!D:D,0)+0),11),),D48/10000,"-")</f>
        <v>-</v>
      </c>
      <c r="G48" s="663" t="str">
        <f>IF(IFERROR(INDEX(Seq_Measurement!$A$1:$Y$249,(MATCH(C48,Seq_Measurement!D:D,0)+0),11),),E48/10000,"-")</f>
        <v>-</v>
      </c>
      <c r="H48" s="1035"/>
      <c r="I48" s="1035"/>
      <c r="J48" s="1031"/>
      <c r="K48" s="667"/>
      <c r="L48" s="445" t="str">
        <f>TEXT(F48,"0,000 \s")</f>
        <v>-</v>
      </c>
      <c r="M48" s="442" t="str">
        <f>IF((G48="-"),"-",TEXT(G48,"0,000 \s"))</f>
        <v>-</v>
      </c>
      <c r="N48" s="442"/>
      <c r="O48" s="442"/>
      <c r="S48" s="276" t="s">
        <v>778</v>
      </c>
    </row>
    <row r="49" spans="1:19" ht="13.5" customHeight="1">
      <c r="A49" s="1031"/>
      <c r="B49" s="1030" t="s">
        <v>410</v>
      </c>
      <c r="C49" s="271" t="s">
        <v>779</v>
      </c>
      <c r="D49" s="440" t="e">
        <f>INDEX(Seq_Measurement!$A$1:$BE$240,(MATCH(C49,Seq_Measurement!D:D,0)+0),8)</f>
        <v>#N/A</v>
      </c>
      <c r="E49" s="440" t="e">
        <f>INDEX(Seq_Measurement!$A$1:$Y$249,(MATCH(C49,Seq_Measurement!D:D,0)+0),11)</f>
        <v>#N/A</v>
      </c>
      <c r="F49" s="663" t="str">
        <f>IF(IFERROR(INDEX(Seq_Measurement!$A$1:$Y$249,(MATCH(C49,Seq_Measurement!D:D,0)+0),11),),D49/10000,"-")</f>
        <v>-</v>
      </c>
      <c r="G49" s="663" t="str">
        <f>IF(IFERROR(INDEX(Seq_Measurement!$A$1:$Y$249,(MATCH(C49,Seq_Measurement!D:D,0)+0),11),),E49/10000,"-")</f>
        <v>-</v>
      </c>
      <c r="H49" s="1035"/>
      <c r="I49" s="1035"/>
      <c r="J49" s="1031"/>
      <c r="K49" s="667"/>
      <c r="L49" s="445" t="str">
        <f>TEXT(F49,"0,000 \s")</f>
        <v>-</v>
      </c>
      <c r="M49" s="442" t="str">
        <f>IF((G49="-"),"-",TEXT(G49,"0,000 \s"))</f>
        <v>-</v>
      </c>
      <c r="N49" s="442"/>
      <c r="O49" s="442"/>
      <c r="S49" s="276"/>
    </row>
    <row r="50" spans="1:19">
      <c r="A50" s="1031"/>
      <c r="B50" s="1031"/>
      <c r="C50" s="271" t="s">
        <v>780</v>
      </c>
      <c r="D50" s="440" t="e">
        <f>INDEX(Seq_Measurement!$A$1:$BE$240,(MATCH(C50,Seq_Measurement!D:D,0)+0),8)</f>
        <v>#N/A</v>
      </c>
      <c r="E50" s="440" t="e">
        <f>INDEX(Seq_Measurement!$A$1:$Y$249,(MATCH(C50,Seq_Measurement!D:D,0)+0),11)</f>
        <v>#N/A</v>
      </c>
      <c r="F50" s="663" t="str">
        <f>IF(IFERROR(INDEX(Seq_Measurement!$A$1:$Y$249,(MATCH(C50,Seq_Measurement!D:D,0)+0),11),),D50/10000,"-")</f>
        <v>-</v>
      </c>
      <c r="G50" s="663" t="str">
        <f>IF(IFERROR(INDEX(Seq_Measurement!$A$1:$Y$249,(MATCH(C50,Seq_Measurement!D:D,0)+0),11),),E50/10000,"-")</f>
        <v>-</v>
      </c>
      <c r="H50" s="1035"/>
      <c r="I50" s="1035"/>
      <c r="J50" s="1031"/>
      <c r="K50" s="667"/>
      <c r="L50" s="445" t="str">
        <f>TEXT(F50,"0,000 \s")</f>
        <v>-</v>
      </c>
      <c r="M50" s="442" t="str">
        <f>IF((G50="-"),"-",TEXT(G50,"0,000 \s"))</f>
        <v>-</v>
      </c>
      <c r="N50" s="442"/>
      <c r="O50" s="442"/>
    </row>
    <row r="51" spans="1:19">
      <c r="B51" s="445" t="s">
        <v>670</v>
      </c>
      <c r="C51" s="439" t="s">
        <v>781</v>
      </c>
      <c r="D51" s="440" t="e">
        <f>INDEX(Seq_Measurement!$A$1:$BE$240,(MATCH(C51,Seq_Measurement!D:D,0)+0),8)</f>
        <v>#N/A</v>
      </c>
      <c r="E51" s="440" t="e">
        <f>INDEX(Seq_Measurement!$A$1:$Y$249,(MATCH(C51,Seq_Measurement!D:D,0)+0),11)</f>
        <v>#N/A</v>
      </c>
      <c r="F51" s="663" t="str">
        <f>IF(IFERROR(INDEX(Seq_Measurement!$A$1:$Y$249,(MATCH(C51,Seq_Measurement!D:D,0)+0),11),),D51/10000,"-")</f>
        <v>-</v>
      </c>
      <c r="G51" s="663" t="str">
        <f>IF(IFERROR(INDEX(Seq_Measurement!$A$1:$Y$249,(MATCH(C51,Seq_Measurement!D:D,0)+0),11),),E51/10000,"-")</f>
        <v>-</v>
      </c>
      <c r="L51" s="445" t="str">
        <f>TEXT(F51,"0,000 \s")</f>
        <v>-</v>
      </c>
      <c r="M51" s="442" t="str">
        <f>IF((G51="-"),"-",TEXT(G51,"0,000 \s"))</f>
        <v>-</v>
      </c>
      <c r="N51" s="445" t="s">
        <v>782</v>
      </c>
      <c r="O51" s="652" t="e">
        <f>1000*(G51-G47)</f>
        <v>#VALUE!</v>
      </c>
      <c r="P51" s="426" t="e">
        <f>O51&amp;" ms"</f>
        <v>#VALUE!</v>
      </c>
    </row>
    <row r="52" spans="1:19">
      <c r="C52" s="439"/>
    </row>
    <row r="53" spans="1:19">
      <c r="A53" s="278"/>
      <c r="B53" s="278"/>
      <c r="C53" s="439"/>
    </row>
    <row r="54" spans="1:19">
      <c r="A54" s="278"/>
      <c r="B54" s="278"/>
      <c r="C54" s="439"/>
    </row>
    <row r="55" spans="1:19">
      <c r="A55" s="1054" t="s">
        <v>783</v>
      </c>
      <c r="B55" s="1031"/>
      <c r="C55" s="1053"/>
      <c r="D55" s="1031"/>
      <c r="E55" s="1031"/>
      <c r="F55" s="1031"/>
      <c r="G55" s="1035"/>
      <c r="H55" s="1035"/>
      <c r="I55" s="1035"/>
      <c r="J55" s="1031"/>
      <c r="K55" s="1031"/>
      <c r="L55" s="1031"/>
      <c r="M55" s="1031"/>
      <c r="N55" s="599"/>
      <c r="O55" s="599"/>
    </row>
    <row r="56" spans="1:19">
      <c r="A56" s="1030"/>
      <c r="B56" s="1031"/>
      <c r="C56" s="1053"/>
      <c r="D56" s="1031"/>
    </row>
    <row r="57" spans="1:19">
      <c r="A57" s="1030" t="s">
        <v>675</v>
      </c>
      <c r="B57" s="1031"/>
      <c r="C57" s="281" t="s">
        <v>784</v>
      </c>
      <c r="H57" s="652" t="s">
        <v>27</v>
      </c>
    </row>
    <row r="58" spans="1:19">
      <c r="A58" s="1031"/>
      <c r="B58" s="1031"/>
      <c r="C58" s="439" t="e">
        <f>'Schutzprüf-Checkliste'!C58</f>
        <v>#REF!</v>
      </c>
      <c r="H58" s="652" t="s">
        <v>785</v>
      </c>
    </row>
    <row r="59" spans="1:19">
      <c r="A59" s="1031"/>
      <c r="B59" s="1031"/>
      <c r="C59" s="439"/>
      <c r="H59" s="439" t="s">
        <v>679</v>
      </c>
    </row>
    <row r="60" spans="1:19">
      <c r="A60" s="1031"/>
      <c r="B60" s="1031"/>
      <c r="C60" s="439"/>
      <c r="H60" s="439" t="s">
        <v>683</v>
      </c>
    </row>
    <row r="61" spans="1:19">
      <c r="A61" s="1031"/>
      <c r="B61" s="1031"/>
      <c r="C61" s="439"/>
      <c r="H61" s="439" t="s">
        <v>687</v>
      </c>
    </row>
    <row r="62" spans="1:19">
      <c r="A62" s="1031"/>
      <c r="B62" s="1031"/>
      <c r="C62" s="439"/>
      <c r="H62" s="439" t="s">
        <v>786</v>
      </c>
    </row>
    <row r="63" spans="1:19">
      <c r="A63" s="1031"/>
      <c r="B63" s="1031"/>
      <c r="C63" s="439"/>
    </row>
    <row r="64" spans="1:19">
      <c r="A64" s="1031"/>
      <c r="B64" s="1031"/>
      <c r="C64" s="439"/>
    </row>
    <row r="65" spans="1:3">
      <c r="A65" s="1031"/>
      <c r="B65" s="1031"/>
      <c r="C65" s="439"/>
    </row>
    <row r="66" spans="1:3">
      <c r="A66" s="1031"/>
      <c r="B66" s="1031"/>
      <c r="C66" s="439"/>
    </row>
    <row r="67" spans="1:3">
      <c r="C67" s="439"/>
    </row>
    <row r="68" spans="1:3">
      <c r="C68" s="439"/>
    </row>
    <row r="69" spans="1:3">
      <c r="C69" s="439"/>
    </row>
    <row r="70" spans="1:3">
      <c r="C70" s="439"/>
    </row>
    <row r="71" spans="1:3">
      <c r="C71" s="439"/>
    </row>
    <row r="72" spans="1:3">
      <c r="C72" s="282">
        <v>46447</v>
      </c>
    </row>
    <row r="73" spans="1:3">
      <c r="C73" s="282">
        <v>46479</v>
      </c>
    </row>
    <row r="74" spans="1:3">
      <c r="C74" s="282">
        <v>46511</v>
      </c>
    </row>
    <row r="75" spans="1:3">
      <c r="C75" s="282">
        <v>46543</v>
      </c>
    </row>
    <row r="76" spans="1:3">
      <c r="C76" s="282">
        <v>46575</v>
      </c>
    </row>
    <row r="77" spans="1:3">
      <c r="C77" s="282">
        <v>46607</v>
      </c>
    </row>
    <row r="78" spans="1:3">
      <c r="C78" s="282">
        <v>46639</v>
      </c>
    </row>
    <row r="79" spans="1:3">
      <c r="C79" s="282">
        <v>46671</v>
      </c>
    </row>
    <row r="80" spans="1:3">
      <c r="C80" s="282">
        <v>46703</v>
      </c>
    </row>
    <row r="81" spans="3:3">
      <c r="C81" s="282">
        <v>46735</v>
      </c>
    </row>
    <row r="82" spans="3:3">
      <c r="C82" s="282">
        <v>46767</v>
      </c>
    </row>
    <row r="83" spans="3:3">
      <c r="C83" s="282">
        <v>46799</v>
      </c>
    </row>
    <row r="84" spans="3:3">
      <c r="C84" s="282">
        <v>46831</v>
      </c>
    </row>
    <row r="85" spans="3:3">
      <c r="C85" s="282">
        <v>46863</v>
      </c>
    </row>
    <row r="86" spans="3:3">
      <c r="C86" s="282">
        <v>46895</v>
      </c>
    </row>
    <row r="87" spans="3:3">
      <c r="C87" s="439"/>
    </row>
    <row r="88" spans="3:3">
      <c r="C88" s="439"/>
    </row>
    <row r="89" spans="3:3">
      <c r="C89" s="439"/>
    </row>
    <row r="90" spans="3:3">
      <c r="C90" s="439"/>
    </row>
    <row r="91" spans="3:3">
      <c r="C91" s="439"/>
    </row>
    <row r="92" spans="3:3">
      <c r="C92" s="439"/>
    </row>
    <row r="93" spans="3:3">
      <c r="C93" s="439"/>
    </row>
    <row r="94" spans="3:3">
      <c r="C94" s="439"/>
    </row>
    <row r="95" spans="3:3">
      <c r="C95" s="439"/>
    </row>
    <row r="96" spans="3:3">
      <c r="C96" s="439"/>
    </row>
    <row r="97" spans="3:3">
      <c r="C97" s="439"/>
    </row>
    <row r="98" spans="3:3">
      <c r="C98" s="439"/>
    </row>
    <row r="99" spans="3:3">
      <c r="C99" s="439"/>
    </row>
    <row r="100" spans="3:3">
      <c r="C100" s="439"/>
    </row>
    <row r="101" spans="3:3">
      <c r="C101" s="439"/>
    </row>
    <row r="102" spans="3:3">
      <c r="C102" s="439"/>
    </row>
    <row r="103" spans="3:3">
      <c r="C103" s="439"/>
    </row>
    <row r="104" spans="3:3">
      <c r="C104" s="439"/>
    </row>
    <row r="105" spans="3:3">
      <c r="C105" s="439"/>
    </row>
    <row r="106" spans="3:3">
      <c r="C106" s="439"/>
    </row>
    <row r="107" spans="3:3">
      <c r="C107" s="439"/>
    </row>
    <row r="108" spans="3:3">
      <c r="C108" s="439"/>
    </row>
    <row r="109" spans="3:3">
      <c r="C109" s="439"/>
    </row>
    <row r="110" spans="3:3">
      <c r="C110" s="439"/>
    </row>
    <row r="111" spans="3:3">
      <c r="C111" s="439"/>
    </row>
    <row r="112" spans="3:3">
      <c r="C112" s="439"/>
    </row>
    <row r="113" spans="3:3">
      <c r="C113" s="439"/>
    </row>
    <row r="114" spans="3:3">
      <c r="C114" s="439"/>
    </row>
    <row r="115" spans="3:3">
      <c r="C115" s="439"/>
    </row>
    <row r="116" spans="3:3">
      <c r="C116" s="439"/>
    </row>
    <row r="117" spans="3:3">
      <c r="C117" s="439"/>
    </row>
    <row r="118" spans="3:3">
      <c r="C118" s="439"/>
    </row>
    <row r="119" spans="3:3">
      <c r="C119" s="439"/>
    </row>
    <row r="120" spans="3:3">
      <c r="C120" s="439"/>
    </row>
    <row r="121" spans="3:3">
      <c r="C121" s="439"/>
    </row>
    <row r="122" spans="3:3">
      <c r="C122" s="439"/>
    </row>
    <row r="123" spans="3:3">
      <c r="C123" s="439"/>
    </row>
    <row r="124" spans="3:3">
      <c r="C124" s="439"/>
    </row>
    <row r="125" spans="3:3">
      <c r="C125" s="439"/>
    </row>
    <row r="126" spans="3:3">
      <c r="C126" s="439"/>
    </row>
    <row r="127" spans="3:3">
      <c r="C127" s="439"/>
    </row>
    <row r="128" spans="3:3">
      <c r="C128" s="439"/>
    </row>
    <row r="129" spans="3:3">
      <c r="C129" s="439"/>
    </row>
    <row r="130" spans="3:3">
      <c r="C130" s="439"/>
    </row>
    <row r="131" spans="3:3">
      <c r="C131" s="439"/>
    </row>
    <row r="132" spans="3:3">
      <c r="C132" s="439"/>
    </row>
    <row r="133" spans="3:3">
      <c r="C133" s="439"/>
    </row>
    <row r="134" spans="3:3">
      <c r="C134" s="439"/>
    </row>
    <row r="135" spans="3:3">
      <c r="C135" s="439"/>
    </row>
    <row r="136" spans="3:3">
      <c r="C136" s="439"/>
    </row>
    <row r="137" spans="3:3">
      <c r="C137" s="439"/>
    </row>
    <row r="138" spans="3:3">
      <c r="C138" s="439"/>
    </row>
    <row r="139" spans="3:3">
      <c r="C139" s="439"/>
    </row>
    <row r="140" spans="3:3">
      <c r="C140" s="439"/>
    </row>
    <row r="141" spans="3:3">
      <c r="C141" s="439"/>
    </row>
    <row r="142" spans="3:3">
      <c r="C142" s="439"/>
    </row>
    <row r="143" spans="3:3">
      <c r="C143" s="439"/>
    </row>
    <row r="144" spans="3:3">
      <c r="C144" s="439"/>
    </row>
    <row r="145" spans="3:3">
      <c r="C145" s="439"/>
    </row>
    <row r="146" spans="3:3">
      <c r="C146" s="439"/>
    </row>
    <row r="147" spans="3:3">
      <c r="C147" s="439"/>
    </row>
    <row r="148" spans="3:3">
      <c r="C148" s="439"/>
    </row>
    <row r="149" spans="3:3">
      <c r="C149" s="439"/>
    </row>
    <row r="150" spans="3:3">
      <c r="C150" s="439"/>
    </row>
    <row r="151" spans="3:3">
      <c r="C151" s="439"/>
    </row>
    <row r="152" spans="3:3">
      <c r="C152" s="439"/>
    </row>
    <row r="153" spans="3:3">
      <c r="C153" s="439"/>
    </row>
    <row r="154" spans="3:3">
      <c r="C154" s="439"/>
    </row>
    <row r="155" spans="3:3">
      <c r="C155" s="439"/>
    </row>
    <row r="156" spans="3:3">
      <c r="C156" s="439"/>
    </row>
    <row r="157" spans="3:3">
      <c r="C157" s="439"/>
    </row>
    <row r="158" spans="3:3">
      <c r="C158" s="439"/>
    </row>
    <row r="159" spans="3:3">
      <c r="C159" s="439"/>
    </row>
    <row r="160" spans="3:3">
      <c r="C160" s="439"/>
    </row>
    <row r="161" spans="3:3">
      <c r="C161" s="439"/>
    </row>
    <row r="162" spans="3:3">
      <c r="C162" s="439"/>
    </row>
    <row r="163" spans="3:3">
      <c r="C163" s="439"/>
    </row>
    <row r="164" spans="3:3">
      <c r="C164" s="439"/>
    </row>
    <row r="165" spans="3:3">
      <c r="C165" s="439"/>
    </row>
    <row r="166" spans="3:3">
      <c r="C166" s="439"/>
    </row>
    <row r="167" spans="3:3">
      <c r="C167" s="439"/>
    </row>
    <row r="168" spans="3:3">
      <c r="C168" s="439"/>
    </row>
    <row r="169" spans="3:3">
      <c r="C169" s="439"/>
    </row>
    <row r="170" spans="3:3">
      <c r="C170" s="439"/>
    </row>
    <row r="171" spans="3:3">
      <c r="C171" s="439"/>
    </row>
    <row r="172" spans="3:3">
      <c r="C172" s="439"/>
    </row>
    <row r="173" spans="3:3">
      <c r="C173" s="439"/>
    </row>
    <row r="174" spans="3:3">
      <c r="C174" s="439"/>
    </row>
    <row r="175" spans="3:3">
      <c r="C175" s="439"/>
    </row>
    <row r="176" spans="3:3">
      <c r="C176" s="439"/>
    </row>
    <row r="177" spans="3:3">
      <c r="C177" s="439"/>
    </row>
    <row r="178" spans="3:3">
      <c r="C178" s="439"/>
    </row>
    <row r="179" spans="3:3">
      <c r="C179" s="439"/>
    </row>
    <row r="180" spans="3:3">
      <c r="C180" s="439"/>
    </row>
    <row r="181" spans="3:3">
      <c r="C181" s="439"/>
    </row>
    <row r="182" spans="3:3">
      <c r="C182" s="439"/>
    </row>
    <row r="183" spans="3:3">
      <c r="C183" s="439"/>
    </row>
    <row r="184" spans="3:3">
      <c r="C184" s="439"/>
    </row>
    <row r="185" spans="3:3">
      <c r="C185" s="439"/>
    </row>
    <row r="186" spans="3:3">
      <c r="C186" s="439"/>
    </row>
    <row r="187" spans="3:3">
      <c r="C187" s="439"/>
    </row>
    <row r="188" spans="3:3">
      <c r="C188" s="439"/>
    </row>
    <row r="189" spans="3:3">
      <c r="C189" s="439"/>
    </row>
    <row r="190" spans="3:3">
      <c r="C190" s="439"/>
    </row>
    <row r="191" spans="3:3">
      <c r="C191" s="439"/>
    </row>
    <row r="192" spans="3:3">
      <c r="C192" s="439"/>
    </row>
    <row r="193" spans="3:3">
      <c r="C193" s="439"/>
    </row>
    <row r="194" spans="3:3">
      <c r="C194" s="439"/>
    </row>
    <row r="195" spans="3:3">
      <c r="C195" s="439"/>
    </row>
    <row r="196" spans="3:3">
      <c r="C196" s="439"/>
    </row>
    <row r="197" spans="3:3">
      <c r="C197" s="439"/>
    </row>
    <row r="198" spans="3:3">
      <c r="C198" s="439"/>
    </row>
    <row r="199" spans="3:3">
      <c r="C199" s="439"/>
    </row>
  </sheetData>
  <mergeCells count="53">
    <mergeCell ref="A57:B66"/>
    <mergeCell ref="A48:A50"/>
    <mergeCell ref="B49:B50"/>
    <mergeCell ref="L9:L10"/>
    <mergeCell ref="B40:B43"/>
    <mergeCell ref="L44:L47"/>
    <mergeCell ref="H18:H19"/>
    <mergeCell ref="L40:L43"/>
    <mergeCell ref="L27:L28"/>
    <mergeCell ref="H14:H15"/>
    <mergeCell ref="B36:B39"/>
    <mergeCell ref="A56:D56"/>
    <mergeCell ref="K9:K10"/>
    <mergeCell ref="H20:H21"/>
    <mergeCell ref="B25:B26"/>
    <mergeCell ref="A55:M55"/>
    <mergeCell ref="R1:S1"/>
    <mergeCell ref="N1:O1"/>
    <mergeCell ref="L25:L26"/>
    <mergeCell ref="H1:H2"/>
    <mergeCell ref="B44:B47"/>
    <mergeCell ref="K14:K15"/>
    <mergeCell ref="N9:N10"/>
    <mergeCell ref="H3:H4"/>
    <mergeCell ref="L1:M1"/>
    <mergeCell ref="I1:J1"/>
    <mergeCell ref="K3:K4"/>
    <mergeCell ref="N20:N21"/>
    <mergeCell ref="L36:L39"/>
    <mergeCell ref="L32:L35"/>
    <mergeCell ref="B32:B35"/>
    <mergeCell ref="K20:K21"/>
    <mergeCell ref="Q1:Q2"/>
    <mergeCell ref="L14:L15"/>
    <mergeCell ref="N14:N15"/>
    <mergeCell ref="B3:B8"/>
    <mergeCell ref="B20:B24"/>
    <mergeCell ref="L20:L21"/>
    <mergeCell ref="B1:B2"/>
    <mergeCell ref="H7:H8"/>
    <mergeCell ref="B14:B19"/>
    <mergeCell ref="L3:L4"/>
    <mergeCell ref="N3:N4"/>
    <mergeCell ref="A3:A24"/>
    <mergeCell ref="K1:K2"/>
    <mergeCell ref="A25:A28"/>
    <mergeCell ref="H32:J50"/>
    <mergeCell ref="A32:A47"/>
    <mergeCell ref="A1:A2"/>
    <mergeCell ref="B27:B28"/>
    <mergeCell ref="H9:H10"/>
    <mergeCell ref="D1:E1"/>
    <mergeCell ref="F1:G1"/>
  </mergeCells>
  <pageMargins left="0.7" right="0.7" top="0.78740157499999996" bottom="0.78740157499999996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"/>
  <dimension ref="A1:O66"/>
  <sheetViews>
    <sheetView workbookViewId="0">
      <selection sqref="A1:O65"/>
    </sheetView>
  </sheetViews>
  <sheetFormatPr baseColWidth="10" defaultRowHeight="12.75"/>
  <cols>
    <col min="1" max="1" width="38.85546875" bestFit="1" customWidth="1"/>
    <col min="2" max="2" width="18.140625" bestFit="1" customWidth="1"/>
    <col min="3" max="3" width="22.85546875" bestFit="1" customWidth="1"/>
    <col min="4" max="4" width="19.5703125" bestFit="1" customWidth="1"/>
    <col min="5" max="5" width="21" bestFit="1" customWidth="1"/>
    <col min="6" max="6" width="15.7109375" bestFit="1" customWidth="1"/>
    <col min="7" max="7" width="18.85546875" bestFit="1" customWidth="1"/>
    <col min="8" max="8" width="20.7109375" bestFit="1" customWidth="1"/>
    <col min="9" max="9" width="10" bestFit="1" customWidth="1"/>
    <col min="10" max="10" width="11" customWidth="1"/>
    <col min="11" max="11" width="20.5703125" bestFit="1" customWidth="1"/>
    <col min="12" max="12" width="19.7109375" bestFit="1" customWidth="1"/>
    <col min="13" max="13" width="11.85546875" bestFit="1" customWidth="1"/>
    <col min="14" max="14" width="13.7109375" bestFit="1" customWidth="1"/>
    <col min="15" max="15" width="11" customWidth="1"/>
  </cols>
  <sheetData>
    <row r="1" spans="1:15">
      <c r="A1" s="668" t="s">
        <v>952</v>
      </c>
      <c r="B1" s="668" t="s">
        <v>953</v>
      </c>
      <c r="C1" s="668" t="s">
        <v>954</v>
      </c>
      <c r="D1" s="668" t="s">
        <v>955</v>
      </c>
      <c r="E1" s="668" t="s">
        <v>956</v>
      </c>
      <c r="F1" s="668" t="s">
        <v>957</v>
      </c>
      <c r="G1" s="668" t="s">
        <v>958</v>
      </c>
      <c r="H1" s="668" t="s">
        <v>959</v>
      </c>
      <c r="I1" s="668" t="s">
        <v>960</v>
      </c>
      <c r="J1" s="668" t="s">
        <v>961</v>
      </c>
      <c r="K1" s="668" t="s">
        <v>962</v>
      </c>
      <c r="L1" s="668" t="s">
        <v>963</v>
      </c>
      <c r="M1" s="668" t="s">
        <v>964</v>
      </c>
      <c r="N1" s="668" t="s">
        <v>965</v>
      </c>
      <c r="O1" s="668" t="s">
        <v>966</v>
      </c>
    </row>
    <row r="63" spans="1:15">
      <c r="A63" s="668"/>
      <c r="B63" s="668"/>
      <c r="C63" s="668"/>
      <c r="D63" s="668"/>
      <c r="E63" s="668"/>
      <c r="F63" s="668"/>
      <c r="G63" s="668"/>
      <c r="H63" s="668"/>
      <c r="I63" s="668"/>
      <c r="J63" s="668"/>
      <c r="K63" s="668"/>
      <c r="L63" s="668"/>
      <c r="M63" s="668"/>
      <c r="N63" s="668"/>
      <c r="O63" s="668"/>
    </row>
    <row r="64" spans="1:15">
      <c r="A64" s="668"/>
      <c r="B64" s="668"/>
      <c r="C64" s="668"/>
      <c r="D64" s="668"/>
      <c r="E64" s="668"/>
      <c r="F64" s="668"/>
      <c r="G64" s="668"/>
      <c r="H64" s="668"/>
      <c r="I64" s="668"/>
      <c r="J64" s="668"/>
      <c r="K64" s="668"/>
      <c r="L64" s="668"/>
      <c r="M64" s="668"/>
      <c r="N64" s="668"/>
      <c r="O64" s="668"/>
    </row>
    <row r="65" spans="1:15">
      <c r="A65" s="32"/>
      <c r="B65" s="668"/>
      <c r="C65" s="668"/>
      <c r="D65" s="668"/>
      <c r="E65" s="668"/>
      <c r="F65" s="668"/>
      <c r="G65" s="668"/>
      <c r="H65" s="668"/>
      <c r="I65" s="668"/>
      <c r="J65" s="668"/>
      <c r="K65" s="668"/>
      <c r="L65" s="668"/>
      <c r="M65" s="668"/>
      <c r="N65" s="668"/>
      <c r="O65" s="668"/>
    </row>
    <row r="66" spans="1:15">
      <c r="A66" s="32"/>
      <c r="B66" s="668"/>
      <c r="C66" s="668"/>
      <c r="D66" s="668"/>
      <c r="E66" s="668"/>
      <c r="F66" s="668"/>
      <c r="G66" s="668"/>
      <c r="H66" s="668"/>
      <c r="I66" s="668"/>
      <c r="J66" s="668"/>
      <c r="K66" s="668"/>
      <c r="L66" s="668"/>
      <c r="M66" s="668"/>
      <c r="N66" s="668"/>
      <c r="O66" s="668"/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3"/>
  <dimension ref="A1:M45"/>
  <sheetViews>
    <sheetView workbookViewId="0">
      <selection sqref="A1:M44"/>
    </sheetView>
  </sheetViews>
  <sheetFormatPr baseColWidth="10" defaultRowHeight="12.75"/>
  <cols>
    <col min="1" max="1" width="38.85546875" bestFit="1" customWidth="1"/>
    <col min="2" max="2" width="18.140625" bestFit="1" customWidth="1"/>
    <col min="3" max="3" width="15.140625" bestFit="1" customWidth="1"/>
    <col min="4" max="4" width="19.5703125" bestFit="1" customWidth="1"/>
    <col min="5" max="6" width="26.42578125" bestFit="1" customWidth="1"/>
    <col min="7" max="9" width="10" customWidth="1"/>
    <col min="10" max="12" width="11" customWidth="1"/>
    <col min="13" max="13" width="13.7109375" bestFit="1" customWidth="1"/>
  </cols>
  <sheetData>
    <row r="1" spans="1:13">
      <c r="A1" s="668" t="s">
        <v>952</v>
      </c>
      <c r="B1" s="668" t="s">
        <v>953</v>
      </c>
      <c r="C1" s="668" t="s">
        <v>954</v>
      </c>
      <c r="D1" s="668" t="s">
        <v>955</v>
      </c>
      <c r="E1" s="668" t="s">
        <v>956</v>
      </c>
      <c r="F1" s="668" t="s">
        <v>957</v>
      </c>
      <c r="G1" s="668" t="s">
        <v>958</v>
      </c>
      <c r="H1" s="668" t="s">
        <v>959</v>
      </c>
      <c r="I1" s="668" t="s">
        <v>960</v>
      </c>
      <c r="J1" s="668" t="s">
        <v>961</v>
      </c>
      <c r="K1" s="668" t="s">
        <v>962</v>
      </c>
      <c r="L1" s="668" t="s">
        <v>963</v>
      </c>
      <c r="M1" s="668" t="s">
        <v>964</v>
      </c>
    </row>
    <row r="42" spans="1:13">
      <c r="A42" s="668"/>
      <c r="B42" s="668"/>
      <c r="C42" s="668"/>
      <c r="D42" s="131"/>
      <c r="E42" s="668"/>
      <c r="F42" s="668"/>
      <c r="G42" s="668"/>
      <c r="H42" s="668"/>
      <c r="I42" s="668"/>
      <c r="J42" s="668"/>
      <c r="K42" s="668"/>
      <c r="L42" s="668"/>
      <c r="M42" s="668"/>
    </row>
    <row r="43" spans="1:13">
      <c r="A43" s="668"/>
      <c r="B43" s="668"/>
      <c r="C43" s="668"/>
      <c r="D43" s="131"/>
      <c r="E43" s="668"/>
      <c r="F43" s="668"/>
      <c r="G43" s="668"/>
      <c r="H43" s="668"/>
      <c r="I43" s="668"/>
      <c r="J43" s="668"/>
      <c r="K43" s="668"/>
      <c r="L43" s="668"/>
      <c r="M43" s="668"/>
    </row>
    <row r="44" spans="1:13">
      <c r="A44" s="668"/>
      <c r="B44" s="668"/>
      <c r="C44" s="668"/>
      <c r="D44" s="131"/>
      <c r="E44" s="668"/>
      <c r="F44" s="668"/>
      <c r="G44" s="668"/>
      <c r="H44" s="668"/>
      <c r="I44" s="668"/>
      <c r="J44" s="668"/>
      <c r="K44" s="668"/>
      <c r="L44" s="668"/>
      <c r="M44" s="668"/>
    </row>
    <row r="45" spans="1:13">
      <c r="A45" s="668"/>
      <c r="B45" s="668"/>
      <c r="C45" s="668"/>
      <c r="D45" s="131"/>
      <c r="E45" s="668"/>
      <c r="F45" s="668"/>
      <c r="G45" s="668"/>
      <c r="H45" s="668"/>
      <c r="I45" s="668"/>
      <c r="J45" s="668"/>
      <c r="K45" s="668"/>
      <c r="L45" s="668"/>
      <c r="M45" s="668"/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3"/>
  <dimension ref="A1:N1"/>
  <sheetViews>
    <sheetView tabSelected="1" workbookViewId="0">
      <selection sqref="A1:N6"/>
    </sheetView>
  </sheetViews>
  <sheetFormatPr baseColWidth="10" defaultRowHeight="12.75"/>
  <cols>
    <col min="1" max="1" width="38.28515625" bestFit="1" customWidth="1"/>
    <col min="2" max="2" width="18.140625" bestFit="1" customWidth="1"/>
    <col min="3" max="3" width="20" bestFit="1" customWidth="1"/>
    <col min="4" max="4" width="15.140625" bestFit="1" customWidth="1"/>
    <col min="5" max="5" width="30" bestFit="1" customWidth="1"/>
    <col min="6" max="6" width="13.5703125" bestFit="1" customWidth="1"/>
    <col min="7" max="7" width="16.140625" bestFit="1" customWidth="1"/>
    <col min="8" max="8" width="19.7109375" bestFit="1" customWidth="1"/>
    <col min="9" max="9" width="20.5703125" bestFit="1" customWidth="1"/>
    <col min="10" max="10" width="14.28515625" bestFit="1" customWidth="1"/>
    <col min="11" max="11" width="11.85546875" bestFit="1" customWidth="1"/>
    <col min="12" max="12" width="13.7109375" bestFit="1" customWidth="1"/>
    <col min="13" max="13" width="22.140625" bestFit="1" customWidth="1"/>
    <col min="14" max="14" width="21" bestFit="1" customWidth="1"/>
    <col min="15" max="15" width="11.42578125" customWidth="1"/>
  </cols>
  <sheetData>
    <row r="1" spans="1:14">
      <c r="A1" s="668" t="s">
        <v>952</v>
      </c>
      <c r="B1" s="668" t="s">
        <v>953</v>
      </c>
      <c r="C1" s="668" t="s">
        <v>954</v>
      </c>
      <c r="D1" s="668" t="s">
        <v>955</v>
      </c>
      <c r="E1" s="668" t="s">
        <v>956</v>
      </c>
      <c r="F1" s="668" t="s">
        <v>957</v>
      </c>
      <c r="G1" s="668" t="s">
        <v>958</v>
      </c>
      <c r="H1" s="668" t="s">
        <v>959</v>
      </c>
      <c r="I1" s="668" t="s">
        <v>960</v>
      </c>
      <c r="J1" s="668" t="s">
        <v>961</v>
      </c>
      <c r="K1" s="668" t="s">
        <v>962</v>
      </c>
      <c r="L1" s="668" t="s">
        <v>963</v>
      </c>
      <c r="M1" s="668" t="s">
        <v>964</v>
      </c>
      <c r="N1" s="668" t="s">
        <v>965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6"/>
  <dimension ref="A1:R15"/>
  <sheetViews>
    <sheetView workbookViewId="0">
      <selection activeCell="A11" sqref="A11"/>
    </sheetView>
  </sheetViews>
  <sheetFormatPr baseColWidth="10" defaultRowHeight="12.75"/>
  <cols>
    <col min="1" max="1" width="13" style="489" bestFit="1" customWidth="1"/>
    <col min="2" max="2" width="50" style="489" bestFit="1" customWidth="1"/>
    <col min="3" max="3" width="50.42578125" style="489" bestFit="1" customWidth="1"/>
    <col min="4" max="5" width="12.42578125" style="489" bestFit="1" customWidth="1"/>
    <col min="6" max="6" width="33.85546875" style="489" bestFit="1" customWidth="1"/>
    <col min="7" max="7" width="12.42578125" style="489" bestFit="1" customWidth="1"/>
    <col min="8" max="8" width="6.7109375" style="489" bestFit="1" customWidth="1"/>
    <col min="9" max="9" width="8" style="489" bestFit="1" customWidth="1"/>
    <col min="10" max="10" width="11.85546875" style="489" bestFit="1" customWidth="1"/>
    <col min="11" max="11" width="12.42578125" style="489" bestFit="1" customWidth="1"/>
    <col min="12" max="12" width="29" style="489" bestFit="1" customWidth="1"/>
    <col min="13" max="13" width="16.28515625" style="489" customWidth="1"/>
    <col min="14" max="14" width="21" style="489" customWidth="1"/>
    <col min="16" max="16" width="10.5703125" style="489" bestFit="1" customWidth="1"/>
    <col min="17" max="17" width="14" style="489" bestFit="1" customWidth="1"/>
    <col min="18" max="18" width="39.140625" style="489" bestFit="1" customWidth="1"/>
  </cols>
  <sheetData>
    <row r="1" spans="1:18">
      <c r="A1" s="1055" t="s">
        <v>158</v>
      </c>
      <c r="B1" s="746"/>
      <c r="C1" s="746"/>
      <c r="D1" s="1057" t="s">
        <v>208</v>
      </c>
      <c r="E1" s="746"/>
      <c r="F1" s="746"/>
      <c r="G1" s="1056" t="s">
        <v>787</v>
      </c>
      <c r="H1" s="746"/>
      <c r="I1" s="746"/>
      <c r="J1" s="746"/>
      <c r="K1" s="746"/>
      <c r="L1" s="746"/>
      <c r="M1" s="1056" t="s">
        <v>788</v>
      </c>
      <c r="N1" s="746"/>
      <c r="O1" s="746"/>
      <c r="P1" s="746"/>
      <c r="Q1" s="746"/>
      <c r="R1" s="746"/>
    </row>
    <row r="2" spans="1:18" ht="15" customHeight="1">
      <c r="A2" s="109" t="s">
        <v>789</v>
      </c>
      <c r="B2" s="109" t="s">
        <v>790</v>
      </c>
      <c r="C2" s="109" t="s">
        <v>2</v>
      </c>
      <c r="D2" s="110" t="s">
        <v>789</v>
      </c>
      <c r="E2" s="110" t="s">
        <v>791</v>
      </c>
      <c r="F2" s="110" t="s">
        <v>792</v>
      </c>
      <c r="G2" s="111" t="s">
        <v>789</v>
      </c>
      <c r="H2" s="111" t="s">
        <v>278</v>
      </c>
      <c r="I2" s="111" t="s">
        <v>490</v>
      </c>
      <c r="J2" s="111" t="s">
        <v>489</v>
      </c>
      <c r="K2" s="111" t="s">
        <v>791</v>
      </c>
      <c r="L2" s="111" t="s">
        <v>2</v>
      </c>
      <c r="M2" s="55" t="s">
        <v>793</v>
      </c>
      <c r="N2" s="55" t="s">
        <v>794</v>
      </c>
      <c r="O2" s="55" t="s">
        <v>795</v>
      </c>
      <c r="P2" s="55" t="s">
        <v>796</v>
      </c>
      <c r="Q2" s="55" t="s">
        <v>797</v>
      </c>
      <c r="R2" s="55" t="s">
        <v>798</v>
      </c>
    </row>
    <row r="3" spans="1:18" ht="38.25" customHeight="1">
      <c r="A3" s="108" t="s">
        <v>273</v>
      </c>
      <c r="B3" s="108" t="s">
        <v>799</v>
      </c>
      <c r="C3" s="108" t="s">
        <v>800</v>
      </c>
      <c r="D3" s="112" t="s">
        <v>285</v>
      </c>
      <c r="E3" s="112" t="s">
        <v>801</v>
      </c>
      <c r="F3" s="112" t="s">
        <v>802</v>
      </c>
      <c r="G3" s="114" t="s">
        <v>803</v>
      </c>
      <c r="H3" s="114" t="s">
        <v>804</v>
      </c>
      <c r="I3" s="114" t="s">
        <v>805</v>
      </c>
      <c r="J3" s="114" t="s">
        <v>806</v>
      </c>
      <c r="K3" s="114" t="s">
        <v>801</v>
      </c>
      <c r="L3" s="114" t="s">
        <v>807</v>
      </c>
      <c r="M3" s="128" t="s">
        <v>808</v>
      </c>
      <c r="N3" s="128" t="s">
        <v>794</v>
      </c>
      <c r="O3" s="128" t="s">
        <v>795</v>
      </c>
      <c r="P3" s="128" t="s">
        <v>809</v>
      </c>
      <c r="Q3" s="128" t="s">
        <v>810</v>
      </c>
      <c r="R3" s="55" t="s">
        <v>811</v>
      </c>
    </row>
    <row r="4" spans="1:18" ht="25.5" customHeight="1">
      <c r="A4" s="108" t="s">
        <v>812</v>
      </c>
      <c r="B4" s="108" t="s">
        <v>813</v>
      </c>
      <c r="C4" s="109" t="s">
        <v>814</v>
      </c>
      <c r="D4" s="112" t="s">
        <v>285</v>
      </c>
      <c r="E4" s="112" t="s">
        <v>815</v>
      </c>
      <c r="F4" s="110" t="s">
        <v>816</v>
      </c>
      <c r="G4" s="114" t="s">
        <v>817</v>
      </c>
      <c r="H4" s="114" t="s">
        <v>818</v>
      </c>
      <c r="I4" s="114" t="s">
        <v>819</v>
      </c>
      <c r="J4" s="114" t="s">
        <v>820</v>
      </c>
      <c r="K4" s="114" t="s">
        <v>815</v>
      </c>
      <c r="L4" s="115"/>
      <c r="M4" s="128" t="s">
        <v>821</v>
      </c>
      <c r="N4" s="128" t="s">
        <v>822</v>
      </c>
      <c r="Q4" t="s">
        <v>823</v>
      </c>
      <c r="R4" s="55" t="s">
        <v>824</v>
      </c>
    </row>
    <row r="5" spans="1:18" ht="25.5" customHeight="1">
      <c r="A5" s="108" t="s">
        <v>825</v>
      </c>
      <c r="B5" s="108" t="s">
        <v>826</v>
      </c>
      <c r="C5" s="108" t="s">
        <v>827</v>
      </c>
      <c r="D5" s="112" t="s">
        <v>828</v>
      </c>
      <c r="E5" s="110" t="s">
        <v>829</v>
      </c>
      <c r="F5" s="110" t="s">
        <v>160</v>
      </c>
      <c r="G5" s="114" t="s">
        <v>830</v>
      </c>
      <c r="H5" s="111" t="s">
        <v>831</v>
      </c>
      <c r="I5" s="114" t="s">
        <v>832</v>
      </c>
      <c r="J5" s="111" t="s">
        <v>833</v>
      </c>
      <c r="K5" s="111" t="s">
        <v>829</v>
      </c>
      <c r="L5" s="115"/>
      <c r="M5" s="129" t="s">
        <v>834</v>
      </c>
      <c r="N5" s="129" t="s">
        <v>835</v>
      </c>
      <c r="O5">
        <v>1000</v>
      </c>
      <c r="P5" s="130" t="s">
        <v>836</v>
      </c>
      <c r="Q5" s="130" t="s">
        <v>837</v>
      </c>
      <c r="R5" s="55" t="s">
        <v>838</v>
      </c>
    </row>
    <row r="6" spans="1:18" ht="38.25" customHeight="1">
      <c r="A6" s="108" t="s">
        <v>839</v>
      </c>
      <c r="B6" s="108" t="s">
        <v>840</v>
      </c>
      <c r="C6" s="108" t="s">
        <v>841</v>
      </c>
      <c r="D6" s="112" t="s">
        <v>842</v>
      </c>
      <c r="E6" s="110" t="s">
        <v>843</v>
      </c>
      <c r="F6" s="110" t="s">
        <v>844</v>
      </c>
      <c r="G6" s="114" t="s">
        <v>291</v>
      </c>
      <c r="H6" s="111" t="s">
        <v>845</v>
      </c>
      <c r="I6" s="114" t="s">
        <v>846</v>
      </c>
      <c r="J6" s="115"/>
      <c r="K6" s="111" t="s">
        <v>843</v>
      </c>
      <c r="L6" s="115"/>
      <c r="M6" s="129" t="s">
        <v>847</v>
      </c>
      <c r="N6" s="129" t="s">
        <v>794</v>
      </c>
      <c r="O6" s="32" t="s">
        <v>848</v>
      </c>
      <c r="P6" s="128" t="s">
        <v>809</v>
      </c>
      <c r="Q6" s="32" t="s">
        <v>849</v>
      </c>
      <c r="R6" s="55" t="s">
        <v>850</v>
      </c>
    </row>
    <row r="7" spans="1:18" ht="38.25" customHeight="1">
      <c r="A7" s="108" t="s">
        <v>851</v>
      </c>
      <c r="B7" s="108" t="s">
        <v>852</v>
      </c>
      <c r="C7" s="108" t="s">
        <v>853</v>
      </c>
      <c r="D7" s="112" t="s">
        <v>854</v>
      </c>
      <c r="E7" s="110" t="s">
        <v>855</v>
      </c>
      <c r="F7" s="113"/>
      <c r="G7" s="115" t="s">
        <v>856</v>
      </c>
      <c r="H7" s="111" t="s">
        <v>857</v>
      </c>
      <c r="I7" s="114" t="s">
        <v>858</v>
      </c>
      <c r="J7" s="115"/>
      <c r="K7" s="111" t="s">
        <v>855</v>
      </c>
      <c r="L7" s="115"/>
      <c r="M7" s="128" t="s">
        <v>859</v>
      </c>
      <c r="N7" s="128" t="s">
        <v>822</v>
      </c>
      <c r="O7" s="129" t="s">
        <v>860</v>
      </c>
      <c r="Q7" s="32" t="s">
        <v>861</v>
      </c>
      <c r="R7" s="55" t="s">
        <v>862</v>
      </c>
    </row>
    <row r="8" spans="1:18" ht="38.25" customHeight="1">
      <c r="A8" s="108" t="s">
        <v>863</v>
      </c>
      <c r="B8" s="108" t="s">
        <v>864</v>
      </c>
      <c r="C8" s="108"/>
      <c r="D8" s="112" t="s">
        <v>865</v>
      </c>
      <c r="E8" s="110" t="s">
        <v>866</v>
      </c>
      <c r="F8" s="110"/>
      <c r="G8" s="127" t="s">
        <v>867</v>
      </c>
      <c r="H8" s="111" t="s">
        <v>868</v>
      </c>
      <c r="I8" s="111" t="s">
        <v>869</v>
      </c>
      <c r="J8" s="115"/>
      <c r="K8" s="115"/>
      <c r="L8" s="115"/>
    </row>
    <row r="9" spans="1:18" ht="25.5" customHeight="1">
      <c r="A9" s="51" t="s">
        <v>870</v>
      </c>
      <c r="B9" s="51"/>
      <c r="C9" s="51"/>
      <c r="D9" s="112" t="s">
        <v>871</v>
      </c>
      <c r="G9" s="114" t="s">
        <v>872</v>
      </c>
      <c r="H9" s="111" t="s">
        <v>873</v>
      </c>
      <c r="I9" s="114" t="s">
        <v>874</v>
      </c>
    </row>
    <row r="10" spans="1:18" ht="38.25" customHeight="1">
      <c r="D10" s="112" t="s">
        <v>875</v>
      </c>
      <c r="G10" s="127" t="s">
        <v>876</v>
      </c>
      <c r="H10" s="114" t="s">
        <v>877</v>
      </c>
      <c r="I10" s="114" t="s">
        <v>878</v>
      </c>
    </row>
    <row r="11" spans="1:18" ht="25.5" customHeight="1">
      <c r="A11" s="52"/>
      <c r="B11" s="52"/>
      <c r="C11" s="52"/>
      <c r="D11" s="477" t="s">
        <v>879</v>
      </c>
      <c r="G11" s="51" t="s">
        <v>880</v>
      </c>
    </row>
    <row r="12" spans="1:18" ht="25.5" customHeight="1">
      <c r="A12" s="52"/>
      <c r="B12" s="52"/>
      <c r="C12" s="52"/>
      <c r="D12" s="477" t="s">
        <v>881</v>
      </c>
    </row>
    <row r="13" spans="1:18">
      <c r="A13" s="52"/>
      <c r="B13" s="52"/>
      <c r="C13" s="52"/>
      <c r="D13" s="52"/>
    </row>
    <row r="14" spans="1:18">
      <c r="A14" s="52"/>
      <c r="B14" s="52"/>
      <c r="C14" s="52"/>
      <c r="D14" s="52"/>
    </row>
    <row r="15" spans="1:18">
      <c r="A15" s="52"/>
      <c r="B15" s="52"/>
      <c r="C15" s="52"/>
      <c r="D15" s="52"/>
    </row>
  </sheetData>
  <mergeCells count="4">
    <mergeCell ref="A1:C1"/>
    <mergeCell ref="G1:L1"/>
    <mergeCell ref="D1:F1"/>
    <mergeCell ref="M1:R1"/>
  </mergeCells>
  <pageMargins left="0.7" right="0.7" top="0.78740157499999996" bottom="0.78740157499999996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/>
  <dimension ref="A1:B38"/>
  <sheetViews>
    <sheetView topLeftCell="A11" workbookViewId="0">
      <selection activeCell="A22" sqref="A22"/>
    </sheetView>
  </sheetViews>
  <sheetFormatPr baseColWidth="10" defaultRowHeight="12.75"/>
  <cols>
    <col min="1" max="1" width="66.28515625" style="489" customWidth="1"/>
    <col min="2" max="2" width="125.7109375" customWidth="1"/>
  </cols>
  <sheetData>
    <row r="1" spans="1:2" ht="38.25" customHeight="1">
      <c r="A1" s="123" t="s">
        <v>882</v>
      </c>
    </row>
    <row r="2" spans="1:2" ht="38.25" customHeight="1">
      <c r="A2" s="51" t="s">
        <v>883</v>
      </c>
      <c r="B2" t="s">
        <v>884</v>
      </c>
    </row>
    <row r="3" spans="1:2" ht="38.25" customHeight="1">
      <c r="A3" s="51" t="s">
        <v>885</v>
      </c>
    </row>
    <row r="4" spans="1:2" ht="38.25" customHeight="1">
      <c r="A4" s="51" t="s">
        <v>886</v>
      </c>
      <c r="B4" t="s">
        <v>887</v>
      </c>
    </row>
    <row r="5" spans="1:2" ht="38.25" customHeight="1">
      <c r="A5" s="123" t="s">
        <v>888</v>
      </c>
    </row>
    <row r="6" spans="1:2" ht="38.25" customHeight="1">
      <c r="A6" s="51" t="s">
        <v>889</v>
      </c>
    </row>
    <row r="7" spans="1:2" ht="38.25" customHeight="1">
      <c r="A7" s="51" t="s">
        <v>890</v>
      </c>
      <c r="B7" t="s">
        <v>891</v>
      </c>
    </row>
    <row r="8" spans="1:2" ht="38.25" customHeight="1">
      <c r="A8" s="51" t="s">
        <v>892</v>
      </c>
      <c r="B8" t="s">
        <v>893</v>
      </c>
    </row>
    <row r="9" spans="1:2" ht="38.25" customHeight="1">
      <c r="A9" s="51" t="s">
        <v>237</v>
      </c>
      <c r="B9" t="s">
        <v>894</v>
      </c>
    </row>
    <row r="10" spans="1:2" ht="38.25" customHeight="1">
      <c r="A10" s="51" t="s">
        <v>895</v>
      </c>
    </row>
    <row r="11" spans="1:2" ht="51" customHeight="1">
      <c r="A11" s="51" t="s">
        <v>896</v>
      </c>
      <c r="B11" t="s">
        <v>897</v>
      </c>
    </row>
    <row r="12" spans="1:2" ht="38.25" customHeight="1">
      <c r="A12" s="123" t="s">
        <v>898</v>
      </c>
      <c r="B12" t="s">
        <v>899</v>
      </c>
    </row>
    <row r="13" spans="1:2" ht="38.25" customHeight="1">
      <c r="A13" s="51" t="s">
        <v>900</v>
      </c>
      <c r="B13" t="s">
        <v>901</v>
      </c>
    </row>
    <row r="14" spans="1:2" ht="51" customHeight="1">
      <c r="A14" s="51" t="s">
        <v>902</v>
      </c>
      <c r="B14" t="s">
        <v>903</v>
      </c>
    </row>
    <row r="15" spans="1:2" ht="38.25" customHeight="1">
      <c r="A15" s="51" t="s">
        <v>904</v>
      </c>
      <c r="B15" t="s">
        <v>905</v>
      </c>
    </row>
    <row r="16" spans="1:2" ht="38.25" customHeight="1">
      <c r="A16" s="51" t="s">
        <v>906</v>
      </c>
      <c r="B16" t="s">
        <v>907</v>
      </c>
    </row>
    <row r="17" spans="1:2" ht="38.25" customHeight="1">
      <c r="A17" s="51" t="s">
        <v>908</v>
      </c>
    </row>
    <row r="18" spans="1:2" ht="38.25" customHeight="1">
      <c r="A18" s="51" t="s">
        <v>909</v>
      </c>
    </row>
    <row r="19" spans="1:2" ht="38.25" customHeight="1">
      <c r="A19" s="51" t="s">
        <v>910</v>
      </c>
    </row>
    <row r="20" spans="1:2" ht="38.25" customHeight="1">
      <c r="A20" s="51" t="s">
        <v>911</v>
      </c>
      <c r="B20" t="s">
        <v>912</v>
      </c>
    </row>
    <row r="21" spans="1:2" ht="38.25" customHeight="1">
      <c r="A21" s="51" t="s">
        <v>942</v>
      </c>
      <c r="B21" t="s">
        <v>913</v>
      </c>
    </row>
    <row r="22" spans="1:2" ht="38.25" customHeight="1">
      <c r="A22" s="123" t="s">
        <v>914</v>
      </c>
    </row>
    <row r="23" spans="1:2" ht="38.25" customHeight="1">
      <c r="A23" s="51" t="s">
        <v>915</v>
      </c>
      <c r="B23" t="s">
        <v>916</v>
      </c>
    </row>
    <row r="24" spans="1:2" ht="38.25" customHeight="1">
      <c r="A24" s="51" t="s">
        <v>917</v>
      </c>
    </row>
    <row r="25" spans="1:2" ht="38.25" customHeight="1">
      <c r="A25" s="123" t="s">
        <v>918</v>
      </c>
    </row>
    <row r="26" spans="1:2" ht="38.25" customHeight="1">
      <c r="A26" s="123" t="s">
        <v>919</v>
      </c>
    </row>
    <row r="27" spans="1:2" ht="38.25" customHeight="1">
      <c r="A27" s="51" t="s">
        <v>920</v>
      </c>
    </row>
    <row r="28" spans="1:2" ht="40.5" customHeight="1">
      <c r="A28" s="51" t="s">
        <v>921</v>
      </c>
      <c r="B28" t="s">
        <v>922</v>
      </c>
    </row>
    <row r="29" spans="1:2" ht="38.25" customHeight="1">
      <c r="A29" s="51" t="s">
        <v>923</v>
      </c>
      <c r="B29" t="s">
        <v>924</v>
      </c>
    </row>
    <row r="30" spans="1:2" ht="38.25" customHeight="1">
      <c r="A30" s="51" t="s">
        <v>925</v>
      </c>
      <c r="B30" t="s">
        <v>926</v>
      </c>
    </row>
    <row r="31" spans="1:2" ht="38.25" customHeight="1">
      <c r="A31" s="51" t="s">
        <v>927</v>
      </c>
      <c r="B31" t="s">
        <v>928</v>
      </c>
    </row>
    <row r="32" spans="1:2" ht="38.25" customHeight="1">
      <c r="A32" s="51" t="s">
        <v>929</v>
      </c>
      <c r="B32" t="s">
        <v>930</v>
      </c>
    </row>
    <row r="33" spans="1:2" ht="38.25" customHeight="1">
      <c r="A33" s="51" t="s">
        <v>931</v>
      </c>
      <c r="B33" t="s">
        <v>932</v>
      </c>
    </row>
    <row r="34" spans="1:2" ht="38.25" customHeight="1">
      <c r="A34" s="51" t="s">
        <v>933</v>
      </c>
    </row>
    <row r="35" spans="1:2" ht="38.25" customHeight="1">
      <c r="A35" s="51" t="s">
        <v>934</v>
      </c>
    </row>
    <row r="36" spans="1:2" ht="38.25" customHeight="1">
      <c r="A36" s="123" t="s">
        <v>935</v>
      </c>
    </row>
    <row r="37" spans="1:2" ht="38.25" customHeight="1">
      <c r="A37" s="51" t="s">
        <v>936</v>
      </c>
      <c r="B37" t="s">
        <v>937</v>
      </c>
    </row>
    <row r="38" spans="1:2" ht="38.25" customHeight="1">
      <c r="A38" s="123" t="s">
        <v>938</v>
      </c>
      <c r="B38" t="s">
        <v>939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0"/>
  <dimension ref="A1:D2"/>
  <sheetViews>
    <sheetView workbookViewId="0">
      <selection activeCell="F24" sqref="F24"/>
    </sheetView>
  </sheetViews>
  <sheetFormatPr baseColWidth="10" defaultRowHeight="12.75"/>
  <cols>
    <col min="1" max="1" width="13.28515625" style="489" customWidth="1"/>
    <col min="2" max="2" width="14" style="489" bestFit="1" customWidth="1"/>
    <col min="3" max="3" width="16.7109375" style="489" customWidth="1"/>
    <col min="4" max="4" width="17.28515625" style="489" customWidth="1"/>
  </cols>
  <sheetData>
    <row r="1" spans="1:4">
      <c r="A1" s="32" t="s">
        <v>940</v>
      </c>
      <c r="B1" s="32" t="s">
        <v>941</v>
      </c>
      <c r="D1" s="32"/>
    </row>
    <row r="2" spans="1:4">
      <c r="A2">
        <f>YEAR('Schutzprüf-Checkliste'!B7)</f>
        <v>2026</v>
      </c>
      <c r="B2">
        <f>MONTH('Schutzprüf-Checkliste'!B7)</f>
        <v>5</v>
      </c>
      <c r="C2" s="32" t="s">
        <v>947</v>
      </c>
      <c r="D2" t="s">
        <v>948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39EC92-461D-48FF-A08C-6FDF387637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Schutzprüf-Checkliste</vt:lpstr>
      <vt:lpstr>Bürdemessung</vt:lpstr>
      <vt:lpstr>Allgemeine Angaben</vt:lpstr>
      <vt:lpstr>Prüfprotokoll</vt:lpstr>
      <vt:lpstr>Wandlerprüfprotokoll</vt:lpstr>
      <vt:lpstr>Protokolluntergeord. Schutz EZE</vt:lpstr>
      <vt:lpstr>Daten</vt:lpstr>
      <vt:lpstr>Daten EZE</vt:lpstr>
      <vt:lpstr>Measurements</vt:lpstr>
      <vt:lpstr>Seq_Measurement</vt:lpstr>
      <vt:lpstr>PlsRmp_Measurement</vt:lpstr>
      <vt:lpstr>Wandlerdaten</vt:lpstr>
      <vt:lpstr>Kunden</vt:lpstr>
      <vt:lpstr>ProtNr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Dieter Krüger</dc:creator>
  <cp:lastModifiedBy>User</cp:lastModifiedBy>
  <cp:lastPrinted>2026-08-23T15:14:17Z</cp:lastPrinted>
  <dcterms:created xsi:type="dcterms:W3CDTF">1996-06-03T13:17:15Z</dcterms:created>
  <dcterms:modified xsi:type="dcterms:W3CDTF">2026-08-23T17:44:50Z</dcterms:modified>
</cp:coreProperties>
</file>