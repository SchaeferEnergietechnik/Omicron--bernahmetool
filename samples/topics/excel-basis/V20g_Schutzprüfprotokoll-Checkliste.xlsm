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OMICRO~3\samples\topics\EXCEL-~1\"/>
    </mc:Choice>
  </mc:AlternateContent>
  <xr:revisionPtr revIDLastSave="0" documentId="13_ncr:1_{001872B9-1FE0-40AD-8E9E-7FBC53835382}" xr6:coauthVersionLast="47" xr6:coauthVersionMax="47" xr10:uidLastSave="{00000000-0000-0000-0000-000000000000}"/>
  <bookViews>
    <workbookView xWindow="-120" yWindow="-120" windowWidth="29040" windowHeight="15720" tabRatio="890" activeTab="10" xr2:uid="{00000000-000D-0000-FFFF-FFFF00000000}"/>
  </bookViews>
  <sheets>
    <sheet name="Schutzprüf-Checkliste" sheetId="1" r:id="rId1"/>
    <sheet name="Bürdemessung" sheetId="2" r:id="rId2"/>
    <sheet name="Allgemeine Angaben" sheetId="3" r:id="rId3"/>
    <sheet name="Prüfprotokoll" sheetId="4" r:id="rId4"/>
    <sheet name="Wandlerprüfprotokoll" sheetId="5" r:id="rId5"/>
    <sheet name="Protokolluntergeord. Schutz EZE" sheetId="6" r:id="rId6"/>
    <sheet name="Daten" sheetId="7" r:id="rId7"/>
    <sheet name="Daten EZE" sheetId="8" r:id="rId8"/>
    <sheet name="Measurements" sheetId="9" r:id="rId9"/>
    <sheet name="Seq_Measurement" sheetId="10" r:id="rId10"/>
    <sheet name="PlsRmp_Measurement" sheetId="11" r:id="rId11"/>
    <sheet name="Wandlerdaten" sheetId="12" r:id="rId12"/>
    <sheet name="Kunden" sheetId="13" r:id="rId13"/>
    <sheet name="ProtNr" sheetId="14" r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4" l="1"/>
  <c r="A182" i="4"/>
  <c r="A174" i="4"/>
  <c r="A173" i="4"/>
  <c r="A172" i="4"/>
  <c r="A171" i="4"/>
  <c r="A170" i="4"/>
  <c r="A169" i="4"/>
  <c r="C109" i="3"/>
  <c r="C115" i="3"/>
  <c r="C114" i="3"/>
  <c r="C108" i="3"/>
  <c r="C107" i="3"/>
  <c r="C106" i="3"/>
  <c r="C105" i="3"/>
  <c r="J182" i="4"/>
  <c r="B2" i="14"/>
  <c r="A2" i="14"/>
  <c r="C58" i="8"/>
  <c r="G51" i="8"/>
  <c r="F51" i="8"/>
  <c r="L51" i="8" s="1"/>
  <c r="E51" i="8"/>
  <c r="D51" i="8"/>
  <c r="F50" i="8"/>
  <c r="L50" i="8" s="1"/>
  <c r="E50" i="8"/>
  <c r="G50" i="8" s="1"/>
  <c r="M50" i="8" s="1"/>
  <c r="I45" i="6" s="1"/>
  <c r="D50" i="8"/>
  <c r="E49" i="8"/>
  <c r="G49" i="8" s="1"/>
  <c r="M49" i="8" s="1"/>
  <c r="I44" i="6" s="1"/>
  <c r="D49" i="8"/>
  <c r="F49" i="8" s="1"/>
  <c r="L49" i="8" s="1"/>
  <c r="C44" i="6" s="1"/>
  <c r="G48" i="8"/>
  <c r="M48" i="8" s="1"/>
  <c r="I43" i="6" s="1"/>
  <c r="F48" i="8"/>
  <c r="L48" i="8" s="1"/>
  <c r="C43" i="6" s="1"/>
  <c r="E48" i="8"/>
  <c r="D48" i="8"/>
  <c r="E47" i="8"/>
  <c r="G47" i="8" s="1"/>
  <c r="M47" i="8" s="1"/>
  <c r="D47" i="8"/>
  <c r="F47" i="8" s="1"/>
  <c r="E46" i="8"/>
  <c r="G46" i="8" s="1"/>
  <c r="M46" i="8" s="1"/>
  <c r="I39" i="6" s="1"/>
  <c r="D46" i="8"/>
  <c r="F46" i="8" s="1"/>
  <c r="E45" i="8"/>
  <c r="G45" i="8" s="1"/>
  <c r="M45" i="8" s="1"/>
  <c r="I38" i="6" s="1"/>
  <c r="D45" i="8"/>
  <c r="F45" i="8" s="1"/>
  <c r="E44" i="8"/>
  <c r="G44" i="8" s="1"/>
  <c r="M44" i="8" s="1"/>
  <c r="I37" i="6" s="1"/>
  <c r="D44" i="8"/>
  <c r="F44" i="8" s="1"/>
  <c r="L44" i="8" s="1"/>
  <c r="C37" i="6" s="1"/>
  <c r="E43" i="8"/>
  <c r="G43" i="8" s="1"/>
  <c r="M43" i="8" s="1"/>
  <c r="I36" i="6" s="1"/>
  <c r="D43" i="8"/>
  <c r="F43" i="8" s="1"/>
  <c r="E42" i="8"/>
  <c r="G42" i="8" s="1"/>
  <c r="M42" i="8" s="1"/>
  <c r="I35" i="6" s="1"/>
  <c r="D42" i="8"/>
  <c r="F42" i="8" s="1"/>
  <c r="E41" i="8"/>
  <c r="G41" i="8" s="1"/>
  <c r="M41" i="8" s="1"/>
  <c r="I34" i="6" s="1"/>
  <c r="D41" i="8"/>
  <c r="F41" i="8" s="1"/>
  <c r="E40" i="8"/>
  <c r="G40" i="8" s="1"/>
  <c r="M40" i="8" s="1"/>
  <c r="I33" i="6" s="1"/>
  <c r="D40" i="8"/>
  <c r="F40" i="8" s="1"/>
  <c r="L40" i="8" s="1"/>
  <c r="C33" i="6" s="1"/>
  <c r="E39" i="8"/>
  <c r="G39" i="8" s="1"/>
  <c r="M39" i="8" s="1"/>
  <c r="D39" i="8"/>
  <c r="F39" i="8" s="1"/>
  <c r="E38" i="8"/>
  <c r="G38" i="8" s="1"/>
  <c r="M38" i="8" s="1"/>
  <c r="D38" i="8"/>
  <c r="F38" i="8" s="1"/>
  <c r="E37" i="8"/>
  <c r="G37" i="8" s="1"/>
  <c r="M37" i="8" s="1"/>
  <c r="D37" i="8"/>
  <c r="F37" i="8" s="1"/>
  <c r="E36" i="8"/>
  <c r="G36" i="8" s="1"/>
  <c r="M36" i="8" s="1"/>
  <c r="D36" i="8"/>
  <c r="F36" i="8" s="1"/>
  <c r="L36" i="8" s="1"/>
  <c r="E35" i="8"/>
  <c r="G35" i="8" s="1"/>
  <c r="M35" i="8" s="1"/>
  <c r="I28" i="6" s="1"/>
  <c r="D35" i="8"/>
  <c r="F35" i="8" s="1"/>
  <c r="E34" i="8"/>
  <c r="G34" i="8" s="1"/>
  <c r="M34" i="8" s="1"/>
  <c r="I27" i="6" s="1"/>
  <c r="D34" i="8"/>
  <c r="F34" i="8" s="1"/>
  <c r="E33" i="8"/>
  <c r="G33" i="8" s="1"/>
  <c r="M33" i="8" s="1"/>
  <c r="I26" i="6" s="1"/>
  <c r="D33" i="8"/>
  <c r="F33" i="8" s="1"/>
  <c r="E32" i="8"/>
  <c r="G32" i="8" s="1"/>
  <c r="M32" i="8" s="1"/>
  <c r="I25" i="6" s="1"/>
  <c r="D32" i="8"/>
  <c r="F32" i="8" s="1"/>
  <c r="L32" i="8" s="1"/>
  <c r="C25" i="6" s="1"/>
  <c r="F29" i="8"/>
  <c r="I29" i="8" s="1"/>
  <c r="E29" i="8"/>
  <c r="G29" i="8" s="1"/>
  <c r="J29" i="8" s="1"/>
  <c r="D29" i="8"/>
  <c r="G28" i="8"/>
  <c r="J28" i="8" s="1"/>
  <c r="F28" i="8"/>
  <c r="I28" i="8" s="1"/>
  <c r="E28" i="8"/>
  <c r="D28" i="8"/>
  <c r="G27" i="8"/>
  <c r="M27" i="8" s="1"/>
  <c r="F27" i="8"/>
  <c r="I27" i="8" s="1"/>
  <c r="L27" i="8" s="1"/>
  <c r="B44" i="6" s="1"/>
  <c r="E27" i="8"/>
  <c r="D27" i="8"/>
  <c r="G26" i="8"/>
  <c r="J26" i="8" s="1"/>
  <c r="F26" i="8"/>
  <c r="I26" i="8" s="1"/>
  <c r="E26" i="8"/>
  <c r="D26" i="8"/>
  <c r="G25" i="8"/>
  <c r="M25" i="8" s="1"/>
  <c r="F25" i="8"/>
  <c r="I25" i="8" s="1"/>
  <c r="L25" i="8" s="1"/>
  <c r="B43" i="6" s="1"/>
  <c r="E25" i="8"/>
  <c r="D25" i="8"/>
  <c r="E24" i="8"/>
  <c r="G24" i="8" s="1"/>
  <c r="D24" i="8"/>
  <c r="F24" i="8" s="1"/>
  <c r="I24" i="8" s="1"/>
  <c r="E23" i="8"/>
  <c r="G23" i="8" s="1"/>
  <c r="M23" i="8" s="1"/>
  <c r="F39" i="6" s="1"/>
  <c r="D23" i="8"/>
  <c r="F23" i="8" s="1"/>
  <c r="I23" i="8" s="1"/>
  <c r="E22" i="8"/>
  <c r="G22" i="8" s="1"/>
  <c r="D22" i="8"/>
  <c r="F22" i="8" s="1"/>
  <c r="I22" i="8" s="1"/>
  <c r="I21" i="8"/>
  <c r="E20" i="8"/>
  <c r="G20" i="8" s="1"/>
  <c r="M20" i="8" s="1"/>
  <c r="F37" i="6" s="1"/>
  <c r="D20" i="8"/>
  <c r="F20" i="8" s="1"/>
  <c r="F19" i="8"/>
  <c r="E19" i="8"/>
  <c r="G19" i="8" s="1"/>
  <c r="E18" i="8"/>
  <c r="G18" i="8" s="1"/>
  <c r="M18" i="8" s="1"/>
  <c r="F36" i="6" s="1"/>
  <c r="D18" i="8"/>
  <c r="F18" i="8" s="1"/>
  <c r="I18" i="8" s="1"/>
  <c r="E17" i="8"/>
  <c r="G17" i="8" s="1"/>
  <c r="M17" i="8" s="1"/>
  <c r="F35" i="6" s="1"/>
  <c r="D17" i="8"/>
  <c r="F17" i="8" s="1"/>
  <c r="I17" i="8" s="1"/>
  <c r="E16" i="8"/>
  <c r="G16" i="8" s="1"/>
  <c r="M16" i="8" s="1"/>
  <c r="F34" i="6" s="1"/>
  <c r="D16" i="8"/>
  <c r="F16" i="8" s="1"/>
  <c r="I16" i="8" s="1"/>
  <c r="I15" i="8"/>
  <c r="E14" i="8"/>
  <c r="G14" i="8" s="1"/>
  <c r="M14" i="8" s="1"/>
  <c r="D14" i="8"/>
  <c r="F14" i="8" s="1"/>
  <c r="I14" i="8" s="1"/>
  <c r="N14" i="8" s="1"/>
  <c r="Q13" i="8"/>
  <c r="E13" i="8"/>
  <c r="G13" i="8" s="1"/>
  <c r="D13" i="8"/>
  <c r="F13" i="8" s="1"/>
  <c r="I13" i="8" s="1"/>
  <c r="Q12" i="8"/>
  <c r="E12" i="8"/>
  <c r="G12" i="8" s="1"/>
  <c r="D12" i="8"/>
  <c r="F12" i="8" s="1"/>
  <c r="I12" i="8" s="1"/>
  <c r="Q11" i="8"/>
  <c r="E11" i="8"/>
  <c r="G11" i="8" s="1"/>
  <c r="D11" i="8"/>
  <c r="F11" i="8" s="1"/>
  <c r="I11" i="8" s="1"/>
  <c r="I10" i="8"/>
  <c r="Q9" i="8"/>
  <c r="E9" i="8"/>
  <c r="G9" i="8" s="1"/>
  <c r="J9" i="8" s="1"/>
  <c r="O9" i="8" s="1"/>
  <c r="D9" i="8"/>
  <c r="F9" i="8" s="1"/>
  <c r="E8" i="8"/>
  <c r="G8" i="8" s="1"/>
  <c r="M8" i="8" s="1"/>
  <c r="B20" i="6" s="1"/>
  <c r="D8" i="8"/>
  <c r="F8" i="8" s="1"/>
  <c r="I8" i="8" s="1"/>
  <c r="E7" i="8"/>
  <c r="G7" i="8" s="1"/>
  <c r="M7" i="8" s="1"/>
  <c r="D7" i="8"/>
  <c r="F7" i="8" s="1"/>
  <c r="I7" i="8" s="1"/>
  <c r="E6" i="8"/>
  <c r="G6" i="8" s="1"/>
  <c r="M6" i="8" s="1"/>
  <c r="F27" i="6" s="1"/>
  <c r="D6" i="8"/>
  <c r="F6" i="8" s="1"/>
  <c r="I6" i="8" s="1"/>
  <c r="E5" i="8"/>
  <c r="G5" i="8" s="1"/>
  <c r="M5" i="8" s="1"/>
  <c r="F26" i="6" s="1"/>
  <c r="D5" i="8"/>
  <c r="F5" i="8" s="1"/>
  <c r="I5" i="8" s="1"/>
  <c r="E3" i="8"/>
  <c r="G3" i="8" s="1"/>
  <c r="D3" i="8"/>
  <c r="F3" i="8" s="1"/>
  <c r="F108" i="7"/>
  <c r="K108" i="7" s="1"/>
  <c r="E108" i="7"/>
  <c r="G108" i="7" s="1"/>
  <c r="L108" i="7" s="1"/>
  <c r="D108" i="7"/>
  <c r="G107" i="7"/>
  <c r="E107" i="7"/>
  <c r="D107" i="7"/>
  <c r="F107" i="7" s="1"/>
  <c r="K107" i="7" s="1"/>
  <c r="E106" i="7"/>
  <c r="G106" i="7" s="1"/>
  <c r="L106" i="7" s="1"/>
  <c r="J116" i="4" s="1"/>
  <c r="D106" i="7"/>
  <c r="F106" i="7" s="1"/>
  <c r="K106" i="7" s="1"/>
  <c r="D116" i="4" s="1"/>
  <c r="F105" i="7"/>
  <c r="K105" i="7" s="1"/>
  <c r="D115" i="4" s="1"/>
  <c r="E105" i="7"/>
  <c r="G105" i="7" s="1"/>
  <c r="L105" i="7" s="1"/>
  <c r="J115" i="4" s="1"/>
  <c r="D105" i="7"/>
  <c r="G104" i="7"/>
  <c r="L104" i="7" s="1"/>
  <c r="F104" i="7"/>
  <c r="K104" i="7" s="1"/>
  <c r="E104" i="7"/>
  <c r="D104" i="7"/>
  <c r="G103" i="7"/>
  <c r="L103" i="7" s="1"/>
  <c r="F103" i="7"/>
  <c r="E103" i="7"/>
  <c r="D103" i="7"/>
  <c r="G102" i="7"/>
  <c r="L102" i="7" s="1"/>
  <c r="F102" i="7"/>
  <c r="E102" i="7"/>
  <c r="D102" i="7"/>
  <c r="G101" i="7"/>
  <c r="L101" i="7" s="1"/>
  <c r="F101" i="7"/>
  <c r="K101" i="7" s="1"/>
  <c r="D80" i="4" s="1"/>
  <c r="E101" i="7"/>
  <c r="D101" i="7"/>
  <c r="G100" i="7"/>
  <c r="L100" i="7" s="1"/>
  <c r="J77" i="4" s="1"/>
  <c r="F100" i="7"/>
  <c r="E100" i="7"/>
  <c r="D100" i="7"/>
  <c r="G99" i="7"/>
  <c r="L99" i="7" s="1"/>
  <c r="J76" i="4" s="1"/>
  <c r="F99" i="7"/>
  <c r="E99" i="7"/>
  <c r="D99" i="7"/>
  <c r="G98" i="7"/>
  <c r="L98" i="7" s="1"/>
  <c r="J75" i="4" s="1"/>
  <c r="F98" i="7"/>
  <c r="K98" i="7" s="1"/>
  <c r="D75" i="4" s="1"/>
  <c r="E98" i="7"/>
  <c r="D98" i="7"/>
  <c r="G97" i="7"/>
  <c r="L97" i="7" s="1"/>
  <c r="J73" i="4" s="1"/>
  <c r="F97" i="7"/>
  <c r="E97" i="7"/>
  <c r="D97" i="7"/>
  <c r="G96" i="7"/>
  <c r="L96" i="7" s="1"/>
  <c r="J72" i="4" s="1"/>
  <c r="F96" i="7"/>
  <c r="E96" i="7"/>
  <c r="D96" i="7"/>
  <c r="G95" i="7"/>
  <c r="L95" i="7" s="1"/>
  <c r="J71" i="4" s="1"/>
  <c r="F95" i="7"/>
  <c r="E95" i="7"/>
  <c r="D95" i="7"/>
  <c r="G94" i="7"/>
  <c r="L94" i="7" s="1"/>
  <c r="J70" i="4" s="1"/>
  <c r="F94" i="7"/>
  <c r="K94" i="7" s="1"/>
  <c r="D70" i="4" s="1"/>
  <c r="E94" i="7"/>
  <c r="D94" i="7"/>
  <c r="E93" i="7"/>
  <c r="G93" i="7" s="1"/>
  <c r="L93" i="7" s="1"/>
  <c r="J68" i="4" s="1"/>
  <c r="D93" i="7"/>
  <c r="F93" i="7" s="1"/>
  <c r="E92" i="7"/>
  <c r="G92" i="7" s="1"/>
  <c r="L92" i="7" s="1"/>
  <c r="J67" i="4" s="1"/>
  <c r="D92" i="7"/>
  <c r="F92" i="7" s="1"/>
  <c r="E91" i="7"/>
  <c r="G91" i="7" s="1"/>
  <c r="L91" i="7" s="1"/>
  <c r="J66" i="4" s="1"/>
  <c r="D91" i="7"/>
  <c r="F91" i="7" s="1"/>
  <c r="F90" i="7"/>
  <c r="K90" i="7" s="1"/>
  <c r="D65" i="4" s="1"/>
  <c r="E90" i="7"/>
  <c r="G90" i="7" s="1"/>
  <c r="L90" i="7" s="1"/>
  <c r="J65" i="4" s="1"/>
  <c r="D90" i="7"/>
  <c r="E89" i="7"/>
  <c r="G89" i="7" s="1"/>
  <c r="L89" i="7" s="1"/>
  <c r="J103" i="4" s="1"/>
  <c r="D89" i="7"/>
  <c r="F89" i="7" s="1"/>
  <c r="E88" i="7"/>
  <c r="G88" i="7" s="1"/>
  <c r="L88" i="7" s="1"/>
  <c r="J102" i="4" s="1"/>
  <c r="D88" i="7"/>
  <c r="F88" i="7" s="1"/>
  <c r="E87" i="7"/>
  <c r="G87" i="7" s="1"/>
  <c r="L87" i="7" s="1"/>
  <c r="J101" i="4" s="1"/>
  <c r="D87" i="7"/>
  <c r="F87" i="7" s="1"/>
  <c r="E86" i="7"/>
  <c r="G86" i="7" s="1"/>
  <c r="L86" i="7" s="1"/>
  <c r="J100" i="4" s="1"/>
  <c r="D86" i="7"/>
  <c r="F86" i="7" s="1"/>
  <c r="K86" i="7" s="1"/>
  <c r="D100" i="4" s="1"/>
  <c r="E85" i="7"/>
  <c r="G85" i="7" s="1"/>
  <c r="L85" i="7" s="1"/>
  <c r="J97" i="4" s="1"/>
  <c r="D85" i="7"/>
  <c r="F85" i="7" s="1"/>
  <c r="E84" i="7"/>
  <c r="G84" i="7" s="1"/>
  <c r="L84" i="7" s="1"/>
  <c r="J96" i="4" s="1"/>
  <c r="D84" i="7"/>
  <c r="F84" i="7" s="1"/>
  <c r="E83" i="7"/>
  <c r="G83" i="7" s="1"/>
  <c r="L83" i="7" s="1"/>
  <c r="J95" i="4" s="1"/>
  <c r="D83" i="7"/>
  <c r="F83" i="7" s="1"/>
  <c r="E82" i="7"/>
  <c r="G82" i="7" s="1"/>
  <c r="L82" i="7" s="1"/>
  <c r="J94" i="4" s="1"/>
  <c r="D82" i="7"/>
  <c r="F82" i="7" s="1"/>
  <c r="K82" i="7" s="1"/>
  <c r="D94" i="4" s="1"/>
  <c r="E81" i="7"/>
  <c r="G81" i="7" s="1"/>
  <c r="L81" i="7" s="1"/>
  <c r="J91" i="4" s="1"/>
  <c r="D81" i="7"/>
  <c r="F81" i="7" s="1"/>
  <c r="E80" i="7"/>
  <c r="G80" i="7" s="1"/>
  <c r="L80" i="7" s="1"/>
  <c r="J90" i="4" s="1"/>
  <c r="D80" i="7"/>
  <c r="F80" i="7" s="1"/>
  <c r="E79" i="7"/>
  <c r="G79" i="7" s="1"/>
  <c r="L79" i="7" s="1"/>
  <c r="J89" i="4" s="1"/>
  <c r="D79" i="7"/>
  <c r="F79" i="7" s="1"/>
  <c r="E78" i="7"/>
  <c r="G78" i="7" s="1"/>
  <c r="L78" i="7" s="1"/>
  <c r="J88" i="4" s="1"/>
  <c r="D78" i="7"/>
  <c r="F78" i="7" s="1"/>
  <c r="K78" i="7" s="1"/>
  <c r="D88" i="4" s="1"/>
  <c r="G70" i="7"/>
  <c r="L70" i="7" s="1"/>
  <c r="F70" i="7"/>
  <c r="I70" i="7" s="1"/>
  <c r="E70" i="7"/>
  <c r="D70" i="7"/>
  <c r="G69" i="7"/>
  <c r="L69" i="7" s="1"/>
  <c r="F69" i="7"/>
  <c r="I69" i="7" s="1"/>
  <c r="K69" i="7" s="1"/>
  <c r="C116" i="4" s="1"/>
  <c r="E69" i="7"/>
  <c r="D69" i="7"/>
  <c r="G68" i="7"/>
  <c r="L68" i="7" s="1"/>
  <c r="F68" i="7"/>
  <c r="I68" i="7" s="1"/>
  <c r="E68" i="7"/>
  <c r="D68" i="7"/>
  <c r="G67" i="7"/>
  <c r="L67" i="7" s="1"/>
  <c r="F67" i="7"/>
  <c r="I67" i="7" s="1"/>
  <c r="K67" i="7" s="1"/>
  <c r="C115" i="4" s="1"/>
  <c r="E67" i="7"/>
  <c r="D67" i="7"/>
  <c r="G66" i="7"/>
  <c r="L66" i="7" s="1"/>
  <c r="F66" i="7"/>
  <c r="E66" i="7"/>
  <c r="D66" i="7"/>
  <c r="G65" i="7"/>
  <c r="L65" i="7" s="1"/>
  <c r="F65" i="7"/>
  <c r="K65" i="7" s="1"/>
  <c r="E65" i="7"/>
  <c r="D65" i="7"/>
  <c r="G64" i="7"/>
  <c r="L64" i="7" s="1"/>
  <c r="F64" i="7"/>
  <c r="E64" i="7"/>
  <c r="D64" i="7"/>
  <c r="G63" i="7"/>
  <c r="L63" i="7" s="1"/>
  <c r="F63" i="7"/>
  <c r="K63" i="7" s="1"/>
  <c r="E63" i="7"/>
  <c r="D63" i="7"/>
  <c r="G62" i="7"/>
  <c r="L62" i="7" s="1"/>
  <c r="F62" i="7"/>
  <c r="E62" i="7"/>
  <c r="D62" i="7"/>
  <c r="G61" i="7"/>
  <c r="L61" i="7" s="1"/>
  <c r="F61" i="7"/>
  <c r="E61" i="7"/>
  <c r="D61" i="7"/>
  <c r="G60" i="7"/>
  <c r="L60" i="7" s="1"/>
  <c r="F60" i="7"/>
  <c r="E60" i="7"/>
  <c r="D60" i="7"/>
  <c r="G59" i="7"/>
  <c r="L59" i="7" s="1"/>
  <c r="F59" i="7"/>
  <c r="K59" i="7" s="1"/>
  <c r="E59" i="7"/>
  <c r="D59" i="7"/>
  <c r="G58" i="7"/>
  <c r="L58" i="7" s="1"/>
  <c r="H137" i="4" s="1"/>
  <c r="F58" i="7"/>
  <c r="K58" i="7" s="1"/>
  <c r="E58" i="7"/>
  <c r="D58" i="7"/>
  <c r="G57" i="7"/>
  <c r="L57" i="7" s="1"/>
  <c r="G137" i="4" s="1"/>
  <c r="F57" i="7"/>
  <c r="E57" i="7"/>
  <c r="D57" i="7"/>
  <c r="G56" i="7"/>
  <c r="L56" i="7" s="1"/>
  <c r="D137" i="4" s="1"/>
  <c r="F56" i="7"/>
  <c r="K56" i="7" s="1"/>
  <c r="E56" i="7"/>
  <c r="D56" i="7"/>
  <c r="G55" i="7"/>
  <c r="L55" i="7" s="1"/>
  <c r="C143" i="4" s="1"/>
  <c r="F55" i="7"/>
  <c r="E55" i="7"/>
  <c r="D55" i="7"/>
  <c r="G54" i="7"/>
  <c r="L54" i="7" s="1"/>
  <c r="H82" i="4" s="1"/>
  <c r="F54" i="7"/>
  <c r="E54" i="7"/>
  <c r="D54" i="7"/>
  <c r="G53" i="7"/>
  <c r="F53" i="7"/>
  <c r="E53" i="7"/>
  <c r="D53" i="7"/>
  <c r="G52" i="7"/>
  <c r="L52" i="7" s="1"/>
  <c r="H81" i="4" s="1"/>
  <c r="F52" i="7"/>
  <c r="E52" i="7"/>
  <c r="D52" i="7"/>
  <c r="G51" i="7"/>
  <c r="L51" i="7" s="1"/>
  <c r="G81" i="4" s="1"/>
  <c r="F51" i="7"/>
  <c r="E51" i="7"/>
  <c r="D51" i="7"/>
  <c r="G50" i="7"/>
  <c r="L50" i="7" s="1"/>
  <c r="H80" i="4" s="1"/>
  <c r="F50" i="7"/>
  <c r="E50" i="7"/>
  <c r="D50" i="7"/>
  <c r="G49" i="7"/>
  <c r="H49" i="7" s="1"/>
  <c r="F49" i="7"/>
  <c r="K49" i="7" s="1"/>
  <c r="C82" i="4" s="1"/>
  <c r="E49" i="7"/>
  <c r="D49" i="7"/>
  <c r="G48" i="7"/>
  <c r="L48" i="7" s="1"/>
  <c r="H77" i="4" s="1"/>
  <c r="F48" i="7"/>
  <c r="E48" i="7"/>
  <c r="D48" i="7"/>
  <c r="G47" i="7"/>
  <c r="L47" i="7" s="1"/>
  <c r="G77" i="4" s="1"/>
  <c r="F47" i="7"/>
  <c r="E47" i="7"/>
  <c r="D47" i="7"/>
  <c r="G46" i="7"/>
  <c r="L46" i="7" s="1"/>
  <c r="H76" i="4" s="1"/>
  <c r="F46" i="7"/>
  <c r="E46" i="7"/>
  <c r="D46" i="7"/>
  <c r="G45" i="7"/>
  <c r="H45" i="7" s="1"/>
  <c r="I76" i="4" s="1"/>
  <c r="F45" i="7"/>
  <c r="E45" i="7"/>
  <c r="D45" i="7"/>
  <c r="G44" i="7"/>
  <c r="L44" i="7" s="1"/>
  <c r="H75" i="4" s="1"/>
  <c r="F44" i="7"/>
  <c r="E44" i="7"/>
  <c r="D44" i="7"/>
  <c r="G43" i="7"/>
  <c r="H43" i="7" s="1"/>
  <c r="I75" i="4" s="1"/>
  <c r="F43" i="7"/>
  <c r="K43" i="7" s="1"/>
  <c r="C77" i="4" s="1"/>
  <c r="E43" i="7"/>
  <c r="D43" i="7"/>
  <c r="G42" i="7"/>
  <c r="L42" i="7" s="1"/>
  <c r="H73" i="4" s="1"/>
  <c r="F42" i="7"/>
  <c r="E42" i="7"/>
  <c r="D42" i="7"/>
  <c r="G41" i="7"/>
  <c r="L41" i="7" s="1"/>
  <c r="G73" i="4" s="1"/>
  <c r="F41" i="7"/>
  <c r="E41" i="7"/>
  <c r="D41" i="7"/>
  <c r="G40" i="7"/>
  <c r="L40" i="7" s="1"/>
  <c r="H72" i="4" s="1"/>
  <c r="F40" i="7"/>
  <c r="E40" i="7"/>
  <c r="D40" i="7"/>
  <c r="G39" i="7"/>
  <c r="F39" i="7"/>
  <c r="E39" i="7"/>
  <c r="D39" i="7"/>
  <c r="G38" i="7"/>
  <c r="L38" i="7" s="1"/>
  <c r="H71" i="4" s="1"/>
  <c r="F38" i="7"/>
  <c r="E38" i="7"/>
  <c r="D38" i="7"/>
  <c r="G37" i="7"/>
  <c r="L37" i="7" s="1"/>
  <c r="G71" i="4" s="1"/>
  <c r="F37" i="7"/>
  <c r="E37" i="7"/>
  <c r="D37" i="7"/>
  <c r="G36" i="7"/>
  <c r="L36" i="7" s="1"/>
  <c r="H70" i="4" s="1"/>
  <c r="F36" i="7"/>
  <c r="E36" i="7"/>
  <c r="D36" i="7"/>
  <c r="G35" i="7"/>
  <c r="H35" i="7" s="1"/>
  <c r="I70" i="4" s="1"/>
  <c r="F35" i="7"/>
  <c r="K35" i="7" s="1"/>
  <c r="C72" i="4" s="1"/>
  <c r="E35" i="7"/>
  <c r="D35" i="7"/>
  <c r="G34" i="7"/>
  <c r="H33" i="7" s="1"/>
  <c r="I68" i="4" s="1"/>
  <c r="F34" i="7"/>
  <c r="E34" i="7"/>
  <c r="D34" i="7"/>
  <c r="G33" i="7"/>
  <c r="L33" i="7" s="1"/>
  <c r="G68" i="4" s="1"/>
  <c r="F33" i="7"/>
  <c r="E33" i="7"/>
  <c r="D33" i="7"/>
  <c r="G32" i="7"/>
  <c r="F32" i="7"/>
  <c r="E32" i="7"/>
  <c r="D32" i="7"/>
  <c r="G31" i="7"/>
  <c r="L31" i="7" s="1"/>
  <c r="G67" i="4" s="1"/>
  <c r="F31" i="7"/>
  <c r="E31" i="7"/>
  <c r="D31" i="7"/>
  <c r="G30" i="7"/>
  <c r="L30" i="7" s="1"/>
  <c r="H66" i="4" s="1"/>
  <c r="F30" i="7"/>
  <c r="E30" i="7"/>
  <c r="D30" i="7"/>
  <c r="G29" i="7"/>
  <c r="L29" i="7" s="1"/>
  <c r="G66" i="4" s="1"/>
  <c r="F29" i="7"/>
  <c r="E29" i="7"/>
  <c r="D29" i="7"/>
  <c r="G28" i="7"/>
  <c r="L28" i="7" s="1"/>
  <c r="H65" i="4" s="1"/>
  <c r="F28" i="7"/>
  <c r="E28" i="7"/>
  <c r="D28" i="7"/>
  <c r="G27" i="7"/>
  <c r="L27" i="7" s="1"/>
  <c r="G65" i="4" s="1"/>
  <c r="C68" i="4" s="1"/>
  <c r="F27" i="7"/>
  <c r="K27" i="7" s="1"/>
  <c r="C67" i="4" s="1"/>
  <c r="E27" i="7"/>
  <c r="D27" i="7"/>
  <c r="E26" i="7"/>
  <c r="G26" i="7" s="1"/>
  <c r="D26" i="7"/>
  <c r="F26" i="7" s="1"/>
  <c r="I26" i="7" s="1"/>
  <c r="E25" i="7"/>
  <c r="G25" i="7" s="1"/>
  <c r="J25" i="7" s="1"/>
  <c r="L25" i="7" s="1"/>
  <c r="G103" i="4" s="1"/>
  <c r="D25" i="7"/>
  <c r="F25" i="7" s="1"/>
  <c r="I25" i="7" s="1"/>
  <c r="E24" i="7"/>
  <c r="G24" i="7" s="1"/>
  <c r="D24" i="7"/>
  <c r="F24" i="7" s="1"/>
  <c r="I24" i="7" s="1"/>
  <c r="E23" i="7"/>
  <c r="G23" i="7" s="1"/>
  <c r="J23" i="7" s="1"/>
  <c r="L23" i="7" s="1"/>
  <c r="G102" i="4" s="1"/>
  <c r="D23" i="7"/>
  <c r="F23" i="7" s="1"/>
  <c r="I23" i="7" s="1"/>
  <c r="E22" i="7"/>
  <c r="G22" i="7" s="1"/>
  <c r="J22" i="7" s="1"/>
  <c r="L22" i="7" s="1"/>
  <c r="H101" i="4" s="1"/>
  <c r="D22" i="7"/>
  <c r="F22" i="7" s="1"/>
  <c r="I22" i="7" s="1"/>
  <c r="E21" i="7"/>
  <c r="G21" i="7" s="1"/>
  <c r="J21" i="7" s="1"/>
  <c r="L21" i="7" s="1"/>
  <c r="G101" i="4" s="1"/>
  <c r="D21" i="7"/>
  <c r="F21" i="7" s="1"/>
  <c r="I21" i="7" s="1"/>
  <c r="K21" i="7" s="1"/>
  <c r="C100" i="4" s="1"/>
  <c r="E20" i="7"/>
  <c r="G20" i="7" s="1"/>
  <c r="D20" i="7"/>
  <c r="F20" i="7" s="1"/>
  <c r="I20" i="7" s="1"/>
  <c r="E19" i="7"/>
  <c r="G19" i="7" s="1"/>
  <c r="J19" i="7" s="1"/>
  <c r="L19" i="7" s="1"/>
  <c r="G100" i="4" s="1"/>
  <c r="D19" i="7"/>
  <c r="F19" i="7" s="1"/>
  <c r="E18" i="7"/>
  <c r="G18" i="7" s="1"/>
  <c r="D18" i="7"/>
  <c r="F18" i="7" s="1"/>
  <c r="I18" i="7" s="1"/>
  <c r="E17" i="7"/>
  <c r="G17" i="7" s="1"/>
  <c r="J17" i="7" s="1"/>
  <c r="L17" i="7" s="1"/>
  <c r="G97" i="4" s="1"/>
  <c r="D17" i="7"/>
  <c r="F17" i="7" s="1"/>
  <c r="I17" i="7" s="1"/>
  <c r="E16" i="7"/>
  <c r="G16" i="7" s="1"/>
  <c r="D16" i="7"/>
  <c r="F16" i="7" s="1"/>
  <c r="I16" i="7" s="1"/>
  <c r="E15" i="7"/>
  <c r="G15" i="7" s="1"/>
  <c r="J15" i="7" s="1"/>
  <c r="L15" i="7" s="1"/>
  <c r="G96" i="4" s="1"/>
  <c r="D15" i="7"/>
  <c r="F15" i="7" s="1"/>
  <c r="I15" i="7" s="1"/>
  <c r="E14" i="7"/>
  <c r="G14" i="7" s="1"/>
  <c r="J14" i="7" s="1"/>
  <c r="L14" i="7" s="1"/>
  <c r="H95" i="4" s="1"/>
  <c r="D14" i="7"/>
  <c r="F14" i="7" s="1"/>
  <c r="I14" i="7" s="1"/>
  <c r="E13" i="7"/>
  <c r="G13" i="7" s="1"/>
  <c r="J13" i="7" s="1"/>
  <c r="L13" i="7" s="1"/>
  <c r="G95" i="4" s="1"/>
  <c r="D13" i="7"/>
  <c r="F13" i="7" s="1"/>
  <c r="I13" i="7" s="1"/>
  <c r="K13" i="7" s="1"/>
  <c r="C94" i="4" s="1"/>
  <c r="E12" i="7"/>
  <c r="G12" i="7" s="1"/>
  <c r="D12" i="7"/>
  <c r="F12" i="7" s="1"/>
  <c r="I12" i="7" s="1"/>
  <c r="E11" i="7"/>
  <c r="G11" i="7" s="1"/>
  <c r="J11" i="7" s="1"/>
  <c r="L11" i="7" s="1"/>
  <c r="G94" i="4" s="1"/>
  <c r="D11" i="7"/>
  <c r="F11" i="7" s="1"/>
  <c r="E10" i="7"/>
  <c r="G10" i="7" s="1"/>
  <c r="D10" i="7"/>
  <c r="F10" i="7" s="1"/>
  <c r="I10" i="7" s="1"/>
  <c r="E9" i="7"/>
  <c r="G9" i="7" s="1"/>
  <c r="J9" i="7" s="1"/>
  <c r="L9" i="7" s="1"/>
  <c r="G91" i="4" s="1"/>
  <c r="D9" i="7"/>
  <c r="F9" i="7" s="1"/>
  <c r="I9" i="7" s="1"/>
  <c r="E8" i="7"/>
  <c r="G8" i="7" s="1"/>
  <c r="J8" i="7" s="1"/>
  <c r="L8" i="7" s="1"/>
  <c r="H90" i="4" s="1"/>
  <c r="D8" i="7"/>
  <c r="F8" i="7" s="1"/>
  <c r="I8" i="7" s="1"/>
  <c r="E7" i="7"/>
  <c r="G7" i="7" s="1"/>
  <c r="J7" i="7" s="1"/>
  <c r="L7" i="7" s="1"/>
  <c r="G90" i="4" s="1"/>
  <c r="D7" i="7"/>
  <c r="F7" i="7" s="1"/>
  <c r="I7" i="7" s="1"/>
  <c r="E6" i="7"/>
  <c r="G6" i="7" s="1"/>
  <c r="D6" i="7"/>
  <c r="F6" i="7" s="1"/>
  <c r="I6" i="7" s="1"/>
  <c r="E5" i="7"/>
  <c r="G5" i="7" s="1"/>
  <c r="J5" i="7" s="1"/>
  <c r="L5" i="7" s="1"/>
  <c r="G89" i="4" s="1"/>
  <c r="D5" i="7"/>
  <c r="F5" i="7" s="1"/>
  <c r="I5" i="7" s="1"/>
  <c r="E4" i="7"/>
  <c r="G4" i="7" s="1"/>
  <c r="D4" i="7"/>
  <c r="F4" i="7" s="1"/>
  <c r="I4" i="7" s="1"/>
  <c r="E3" i="7"/>
  <c r="G3" i="7" s="1"/>
  <c r="J3" i="7" s="1"/>
  <c r="L3" i="7" s="1"/>
  <c r="G88" i="4" s="1"/>
  <c r="D3" i="7"/>
  <c r="F3" i="7" s="1"/>
  <c r="Q3" i="7" s="1"/>
  <c r="G59" i="6"/>
  <c r="A59" i="6"/>
  <c r="F55" i="6"/>
  <c r="A55" i="6"/>
  <c r="F54" i="6"/>
  <c r="A54" i="6"/>
  <c r="F53" i="6"/>
  <c r="A53" i="6"/>
  <c r="F52" i="6"/>
  <c r="A52" i="6"/>
  <c r="F51" i="6"/>
  <c r="A51" i="6"/>
  <c r="G49" i="6"/>
  <c r="B46" i="6"/>
  <c r="C45" i="6"/>
  <c r="I40" i="6"/>
  <c r="E39" i="6"/>
  <c r="B39" i="6"/>
  <c r="E38" i="6"/>
  <c r="E37" i="6"/>
  <c r="E35" i="6"/>
  <c r="B35" i="6"/>
  <c r="E34" i="6"/>
  <c r="F33" i="6"/>
  <c r="E33" i="6"/>
  <c r="I32" i="6"/>
  <c r="H32" i="6"/>
  <c r="G32" i="6"/>
  <c r="F32" i="6"/>
  <c r="E32" i="6"/>
  <c r="I31" i="6"/>
  <c r="H31" i="6"/>
  <c r="G31" i="6"/>
  <c r="F31" i="6"/>
  <c r="E31" i="6"/>
  <c r="B31" i="6"/>
  <c r="I30" i="6"/>
  <c r="H30" i="6"/>
  <c r="G30" i="6"/>
  <c r="F30" i="6"/>
  <c r="E30" i="6"/>
  <c r="B30" i="6"/>
  <c r="I29" i="6"/>
  <c r="H29" i="6"/>
  <c r="G29" i="6"/>
  <c r="F29" i="6"/>
  <c r="E29" i="6"/>
  <c r="C29" i="6"/>
  <c r="B29" i="6"/>
  <c r="A29" i="6"/>
  <c r="F28" i="6"/>
  <c r="E27" i="6"/>
  <c r="B27" i="6"/>
  <c r="E26" i="6"/>
  <c r="E25" i="6"/>
  <c r="A25" i="6"/>
  <c r="G20" i="6"/>
  <c r="G19" i="6"/>
  <c r="G18" i="6"/>
  <c r="G17" i="6"/>
  <c r="A13" i="6"/>
  <c r="B9" i="6"/>
  <c r="G8" i="6"/>
  <c r="B8" i="6"/>
  <c r="B7" i="6"/>
  <c r="C81" i="5"/>
  <c r="A81" i="5"/>
  <c r="C80" i="5"/>
  <c r="H79" i="5"/>
  <c r="C76" i="5"/>
  <c r="C75" i="5"/>
  <c r="I70" i="5"/>
  <c r="H70" i="5"/>
  <c r="G70" i="5"/>
  <c r="D70" i="5"/>
  <c r="I69" i="5"/>
  <c r="H69" i="5"/>
  <c r="G69" i="5"/>
  <c r="D69" i="5"/>
  <c r="I66" i="5"/>
  <c r="I64" i="5"/>
  <c r="E64" i="5"/>
  <c r="I63" i="5"/>
  <c r="E63" i="5"/>
  <c r="C59" i="5"/>
  <c r="I56" i="5"/>
  <c r="H55" i="5"/>
  <c r="I52" i="5"/>
  <c r="H52" i="5"/>
  <c r="G52" i="5"/>
  <c r="D52" i="5"/>
  <c r="I51" i="5"/>
  <c r="H51" i="5"/>
  <c r="G51" i="5"/>
  <c r="D51" i="5"/>
  <c r="I50" i="5"/>
  <c r="H50" i="5"/>
  <c r="G50" i="5"/>
  <c r="D50" i="5"/>
  <c r="I47" i="5"/>
  <c r="I46" i="5"/>
  <c r="C46" i="5"/>
  <c r="I45" i="5"/>
  <c r="G45" i="5"/>
  <c r="E45" i="5"/>
  <c r="D45" i="5"/>
  <c r="C45" i="5"/>
  <c r="I44" i="5"/>
  <c r="F44" i="5"/>
  <c r="E44" i="5"/>
  <c r="C44" i="5"/>
  <c r="I43" i="5"/>
  <c r="G43" i="5"/>
  <c r="D43" i="5"/>
  <c r="C43" i="5"/>
  <c r="A43" i="5"/>
  <c r="I42" i="5"/>
  <c r="I38" i="5"/>
  <c r="I37" i="5"/>
  <c r="H36" i="5"/>
  <c r="F36" i="5"/>
  <c r="D36" i="5"/>
  <c r="C36" i="5"/>
  <c r="H35" i="5"/>
  <c r="F35" i="5"/>
  <c r="D35" i="5"/>
  <c r="C35" i="5"/>
  <c r="H34" i="5"/>
  <c r="F34" i="5"/>
  <c r="D34" i="5"/>
  <c r="C34" i="5"/>
  <c r="G29" i="5"/>
  <c r="D29" i="5"/>
  <c r="I28" i="5"/>
  <c r="H28" i="5"/>
  <c r="G28" i="5"/>
  <c r="D28" i="5"/>
  <c r="I27" i="5"/>
  <c r="H27" i="5"/>
  <c r="G27" i="5"/>
  <c r="D27" i="5"/>
  <c r="C24" i="5"/>
  <c r="I23" i="5"/>
  <c r="G23" i="5"/>
  <c r="F23" i="5"/>
  <c r="E23" i="5"/>
  <c r="D23" i="5"/>
  <c r="C23" i="5"/>
  <c r="G22" i="5"/>
  <c r="I22" i="5" s="1"/>
  <c r="F22" i="5"/>
  <c r="E22" i="5"/>
  <c r="C22" i="5"/>
  <c r="G21" i="5"/>
  <c r="D21" i="5"/>
  <c r="C21" i="5"/>
  <c r="A21" i="5"/>
  <c r="I20" i="5"/>
  <c r="H15" i="5"/>
  <c r="H14" i="5"/>
  <c r="A13" i="5"/>
  <c r="C9" i="5"/>
  <c r="C8" i="5"/>
  <c r="H7" i="5"/>
  <c r="C7" i="5"/>
  <c r="G187" i="4"/>
  <c r="D187" i="4"/>
  <c r="A187" i="4"/>
  <c r="D186" i="4"/>
  <c r="H185" i="4"/>
  <c r="A183" i="4"/>
  <c r="J180" i="4"/>
  <c r="A180" i="4"/>
  <c r="J175" i="4"/>
  <c r="A175" i="4"/>
  <c r="J168" i="4"/>
  <c r="A168" i="4"/>
  <c r="C164" i="4"/>
  <c r="C158" i="4"/>
  <c r="C157" i="4"/>
  <c r="J156" i="4"/>
  <c r="H156" i="4"/>
  <c r="G156" i="4"/>
  <c r="E156" i="4"/>
  <c r="D156" i="4"/>
  <c r="J155" i="4"/>
  <c r="H155" i="4"/>
  <c r="G155" i="4"/>
  <c r="E155" i="4"/>
  <c r="D155" i="4"/>
  <c r="J154" i="4"/>
  <c r="H154" i="4"/>
  <c r="G154" i="4"/>
  <c r="E154" i="4"/>
  <c r="D154" i="4"/>
  <c r="J153" i="4"/>
  <c r="H153" i="4"/>
  <c r="G153" i="4"/>
  <c r="E153" i="4"/>
  <c r="D153" i="4"/>
  <c r="F150" i="4"/>
  <c r="D150" i="4"/>
  <c r="F149" i="4"/>
  <c r="D149" i="4"/>
  <c r="F148" i="4"/>
  <c r="D148" i="4"/>
  <c r="F147" i="4"/>
  <c r="D147" i="4"/>
  <c r="F146" i="4"/>
  <c r="D146" i="4"/>
  <c r="J141" i="4"/>
  <c r="E141" i="4"/>
  <c r="J140" i="4"/>
  <c r="E140" i="4"/>
  <c r="J137" i="4"/>
  <c r="E137" i="4"/>
  <c r="C124" i="4"/>
  <c r="C117" i="4"/>
  <c r="C105" i="4"/>
  <c r="C104" i="4"/>
  <c r="C99" i="4"/>
  <c r="C98" i="4"/>
  <c r="C93" i="4"/>
  <c r="C92" i="4"/>
  <c r="C69" i="4"/>
  <c r="H19" i="4"/>
  <c r="H18" i="4"/>
  <c r="H17" i="4"/>
  <c r="H16" i="4"/>
  <c r="H15" i="4"/>
  <c r="A13" i="4"/>
  <c r="C9" i="4"/>
  <c r="C8" i="4"/>
  <c r="C7" i="4"/>
  <c r="C140" i="3"/>
  <c r="H14" i="4" s="1"/>
  <c r="C138" i="3"/>
  <c r="C139" i="3" s="1"/>
  <c r="I9" i="4" s="1"/>
  <c r="C137" i="3"/>
  <c r="F7" i="5" s="1"/>
  <c r="C136" i="3"/>
  <c r="C135" i="3"/>
  <c r="D125" i="3"/>
  <c r="C125" i="3"/>
  <c r="C122" i="3"/>
  <c r="G21" i="8" s="1"/>
  <c r="C121" i="3"/>
  <c r="G15" i="8" s="1"/>
  <c r="H14" i="8" s="1"/>
  <c r="C120" i="3"/>
  <c r="G10" i="8" s="1"/>
  <c r="C117" i="3"/>
  <c r="A115" i="3"/>
  <c r="D114" i="3"/>
  <c r="A114" i="3"/>
  <c r="C110" i="3"/>
  <c r="D109" i="3"/>
  <c r="D107" i="3"/>
  <c r="D105" i="3"/>
  <c r="C104" i="3"/>
  <c r="D103" i="3"/>
  <c r="C103" i="3"/>
  <c r="C101" i="3"/>
  <c r="J131" i="4" s="1"/>
  <c r="T85" i="3"/>
  <c r="R85" i="3"/>
  <c r="P85" i="3"/>
  <c r="N85" i="3"/>
  <c r="L85" i="3"/>
  <c r="J85" i="3"/>
  <c r="D85" i="3"/>
  <c r="P84" i="3"/>
  <c r="N84" i="3"/>
  <c r="L84" i="3"/>
  <c r="J84" i="3"/>
  <c r="D84" i="3"/>
  <c r="D83" i="3"/>
  <c r="P82" i="3"/>
  <c r="N82" i="3"/>
  <c r="L82" i="3"/>
  <c r="J82" i="3"/>
  <c r="D82" i="3"/>
  <c r="T81" i="3"/>
  <c r="R81" i="3"/>
  <c r="P81" i="3"/>
  <c r="N81" i="3"/>
  <c r="L81" i="3"/>
  <c r="J81" i="3"/>
  <c r="D81" i="3"/>
  <c r="P80" i="3"/>
  <c r="N80" i="3"/>
  <c r="L80" i="3"/>
  <c r="J80" i="3"/>
  <c r="D80" i="3"/>
  <c r="T79" i="3"/>
  <c r="R79" i="3"/>
  <c r="P79" i="3"/>
  <c r="N79" i="3"/>
  <c r="L79" i="3"/>
  <c r="J79" i="3"/>
  <c r="D79" i="3"/>
  <c r="C78" i="3"/>
  <c r="C69" i="3"/>
  <c r="D57" i="5" s="1"/>
  <c r="C68" i="3"/>
  <c r="D55" i="5" s="1"/>
  <c r="P66" i="3"/>
  <c r="N66" i="3"/>
  <c r="L66" i="3"/>
  <c r="J66" i="3"/>
  <c r="D66" i="3"/>
  <c r="F45" i="5" s="1"/>
  <c r="P65" i="3"/>
  <c r="N65" i="3"/>
  <c r="L65" i="3"/>
  <c r="J65" i="3"/>
  <c r="D65" i="3"/>
  <c r="P64" i="3"/>
  <c r="N64" i="3"/>
  <c r="L64" i="3"/>
  <c r="J64" i="3"/>
  <c r="D64" i="3"/>
  <c r="F43" i="5" s="1"/>
  <c r="P63" i="3"/>
  <c r="N63" i="3"/>
  <c r="L63" i="3"/>
  <c r="J63" i="3"/>
  <c r="D63" i="3"/>
  <c r="P62" i="3"/>
  <c r="N62" i="3"/>
  <c r="L62" i="3"/>
  <c r="J62" i="3"/>
  <c r="D62" i="3"/>
  <c r="G44" i="5" s="1"/>
  <c r="P61" i="3"/>
  <c r="N61" i="3"/>
  <c r="L61" i="3"/>
  <c r="J61" i="3"/>
  <c r="D61" i="3"/>
  <c r="C53" i="3"/>
  <c r="D39" i="5" s="1"/>
  <c r="C52" i="3"/>
  <c r="D32" i="5" s="1"/>
  <c r="R51" i="3"/>
  <c r="P51" i="3"/>
  <c r="N51" i="3"/>
  <c r="L51" i="3"/>
  <c r="J51" i="3"/>
  <c r="D51" i="3"/>
  <c r="R49" i="3"/>
  <c r="P49" i="3"/>
  <c r="N49" i="3"/>
  <c r="L49" i="3"/>
  <c r="J49" i="3"/>
  <c r="D49" i="3"/>
  <c r="R47" i="3"/>
  <c r="P47" i="3"/>
  <c r="N47" i="3"/>
  <c r="L47" i="3"/>
  <c r="J47" i="3"/>
  <c r="D47" i="3"/>
  <c r="F21" i="5" s="1"/>
  <c r="N45" i="3"/>
  <c r="L45" i="3"/>
  <c r="D45" i="3"/>
  <c r="N43" i="3"/>
  <c r="L43" i="3"/>
  <c r="J43" i="3"/>
  <c r="D43" i="3"/>
  <c r="N41" i="3"/>
  <c r="L41" i="3"/>
  <c r="J41" i="3"/>
  <c r="D41" i="3"/>
  <c r="C40" i="3"/>
  <c r="G25" i="3"/>
  <c r="G24" i="3"/>
  <c r="C24" i="3"/>
  <c r="G23" i="3"/>
  <c r="G22" i="3"/>
  <c r="G21" i="3"/>
  <c r="G20" i="3"/>
  <c r="C20" i="3"/>
  <c r="G19" i="3"/>
  <c r="G18" i="3"/>
  <c r="C18" i="3"/>
  <c r="G17" i="3"/>
  <c r="G16" i="3"/>
  <c r="G15" i="3"/>
  <c r="C6" i="3"/>
  <c r="G21" i="6" s="1"/>
  <c r="C5" i="3"/>
  <c r="H10" i="4" s="1"/>
  <c r="C3" i="3"/>
  <c r="H13" i="5" s="1"/>
  <c r="E30" i="2"/>
  <c r="E28" i="2"/>
  <c r="E27" i="2"/>
  <c r="E26" i="2"/>
  <c r="E25" i="2"/>
  <c r="E24" i="2"/>
  <c r="E23" i="2"/>
  <c r="E20" i="2"/>
  <c r="E19" i="2"/>
  <c r="E18" i="2"/>
  <c r="E17" i="2"/>
  <c r="E16" i="2"/>
  <c r="E15" i="2"/>
  <c r="E11" i="2"/>
  <c r="E10" i="2"/>
  <c r="E9" i="2"/>
  <c r="E8" i="2"/>
  <c r="E7" i="2"/>
  <c r="E6" i="2"/>
  <c r="E5" i="2"/>
  <c r="E4" i="2"/>
  <c r="E3" i="2"/>
  <c r="J88" i="1"/>
  <c r="J84" i="1"/>
  <c r="L72" i="1"/>
  <c r="J174" i="4" s="1"/>
  <c r="J72" i="1"/>
  <c r="J173" i="4" s="1"/>
  <c r="L71" i="1"/>
  <c r="J71" i="1"/>
  <c r="L70" i="1"/>
  <c r="J70" i="1"/>
  <c r="H66" i="1"/>
  <c r="H65" i="1"/>
  <c r="B56" i="1"/>
  <c r="G51" i="1"/>
  <c r="I24" i="5" s="1"/>
  <c r="L49" i="1"/>
  <c r="J49" i="1"/>
  <c r="G49" i="1"/>
  <c r="L48" i="1"/>
  <c r="J48" i="1"/>
  <c r="G48" i="1"/>
  <c r="D22" i="5" s="1"/>
  <c r="G47" i="1"/>
  <c r="L43" i="1"/>
  <c r="J43" i="1"/>
  <c r="G43" i="1" s="1"/>
  <c r="L42" i="1"/>
  <c r="J42" i="1"/>
  <c r="P41" i="1"/>
  <c r="N41" i="1"/>
  <c r="L41" i="1"/>
  <c r="J41" i="1"/>
  <c r="G41" i="1"/>
  <c r="J38" i="1"/>
  <c r="C72" i="3" s="1"/>
  <c r="D65" i="5" s="1"/>
  <c r="N36" i="1"/>
  <c r="L36" i="1"/>
  <c r="J36" i="1"/>
  <c r="G35" i="1" s="1"/>
  <c r="D44" i="5" s="1"/>
  <c r="G36" i="1"/>
  <c r="N35" i="1"/>
  <c r="L35" i="1"/>
  <c r="J35" i="1"/>
  <c r="G34" i="1"/>
  <c r="Q33" i="1"/>
  <c r="M33" i="1"/>
  <c r="O34" i="1" s="1"/>
  <c r="C58" i="5" s="1"/>
  <c r="T32" i="1"/>
  <c r="R32" i="1"/>
  <c r="P32" i="1"/>
  <c r="N32" i="1"/>
  <c r="L32" i="1"/>
  <c r="J32" i="1"/>
  <c r="H27" i="1"/>
  <c r="E22" i="6" s="1"/>
  <c r="T26" i="1"/>
  <c r="R26" i="1"/>
  <c r="P26" i="1"/>
  <c r="N26" i="1"/>
  <c r="L26" i="1"/>
  <c r="J26" i="1"/>
  <c r="H26" i="1"/>
  <c r="C141" i="3" s="1"/>
  <c r="G14" i="6" s="1"/>
  <c r="G26" i="1"/>
  <c r="Q24" i="1"/>
  <c r="C119" i="3" s="1"/>
  <c r="G4" i="8" s="1"/>
  <c r="C21" i="1"/>
  <c r="C133" i="3" s="1"/>
  <c r="G15" i="6" s="1"/>
  <c r="C20" i="1"/>
  <c r="G16" i="6" s="1"/>
  <c r="L17" i="1"/>
  <c r="C21" i="3" s="1"/>
  <c r="J17" i="1"/>
  <c r="C22" i="3" s="1"/>
  <c r="L16" i="1"/>
  <c r="J16" i="1"/>
  <c r="C25" i="3" s="1"/>
  <c r="L15" i="1"/>
  <c r="J15" i="1"/>
  <c r="C23" i="3" s="1"/>
  <c r="N14" i="1"/>
  <c r="C19" i="3" s="1"/>
  <c r="L14" i="1"/>
  <c r="J14" i="1"/>
  <c r="M9" i="8" l="1"/>
  <c r="L29" i="8"/>
  <c r="B45" i="6" s="1"/>
  <c r="M29" i="8"/>
  <c r="F45" i="6" s="1"/>
  <c r="G45" i="6" s="1"/>
  <c r="J20" i="8"/>
  <c r="O20" i="8" s="1"/>
  <c r="H12" i="8"/>
  <c r="J81" i="4"/>
  <c r="J80" i="4"/>
  <c r="J82" i="4"/>
  <c r="J7" i="8"/>
  <c r="O7" i="8" s="1"/>
  <c r="H31" i="7"/>
  <c r="I67" i="4" s="1"/>
  <c r="H6" i="8"/>
  <c r="H116" i="4"/>
  <c r="H115" i="4"/>
  <c r="G116" i="4"/>
  <c r="J6" i="8"/>
  <c r="O6" i="8" s="1"/>
  <c r="L32" i="7"/>
  <c r="H67" i="4" s="1"/>
  <c r="L35" i="7"/>
  <c r="G70" i="4" s="1"/>
  <c r="C73" i="4" s="1"/>
  <c r="H9" i="7"/>
  <c r="I91" i="4" s="1"/>
  <c r="M26" i="8"/>
  <c r="G43" i="6" s="1"/>
  <c r="H47" i="7"/>
  <c r="I77" i="4" s="1"/>
  <c r="H27" i="7"/>
  <c r="I65" i="4" s="1"/>
  <c r="F44" i="6"/>
  <c r="C137" i="4"/>
  <c r="J67" i="7"/>
  <c r="J14" i="8"/>
  <c r="O14" i="8" s="1"/>
  <c r="G115" i="4"/>
  <c r="L49" i="7"/>
  <c r="G80" i="4" s="1"/>
  <c r="C84" i="4" s="1"/>
  <c r="M28" i="8"/>
  <c r="H5" i="7"/>
  <c r="I89" i="4" s="1"/>
  <c r="I78" i="4"/>
  <c r="I80" i="4"/>
  <c r="J3" i="8"/>
  <c r="O3" i="8" s="1"/>
  <c r="M3" i="8"/>
  <c r="F25" i="6" s="1"/>
  <c r="H15" i="7"/>
  <c r="I96" i="4" s="1"/>
  <c r="J16" i="7"/>
  <c r="L16" i="7" s="1"/>
  <c r="H96" i="4" s="1"/>
  <c r="H51" i="7"/>
  <c r="I81" i="4" s="1"/>
  <c r="H29" i="7"/>
  <c r="I66" i="4" s="1"/>
  <c r="F43" i="6"/>
  <c r="L34" i="7"/>
  <c r="H68" i="4" s="1"/>
  <c r="L45" i="7"/>
  <c r="G76" i="4" s="1"/>
  <c r="J25" i="8"/>
  <c r="H55" i="7"/>
  <c r="C71" i="4"/>
  <c r="J68" i="7"/>
  <c r="C66" i="4"/>
  <c r="N16" i="8"/>
  <c r="H41" i="7"/>
  <c r="I73" i="4" s="1"/>
  <c r="H16" i="5"/>
  <c r="G7" i="6"/>
  <c r="J169" i="4"/>
  <c r="J172" i="4"/>
  <c r="J171" i="4"/>
  <c r="J170" i="4"/>
  <c r="J18" i="7"/>
  <c r="L18" i="7" s="1"/>
  <c r="H97" i="4" s="1"/>
  <c r="H17" i="7"/>
  <c r="I97" i="4" s="1"/>
  <c r="H33" i="6"/>
  <c r="Q14" i="8"/>
  <c r="Q6" i="8"/>
  <c r="H27" i="6"/>
  <c r="A63" i="5"/>
  <c r="G9" i="6"/>
  <c r="H7" i="7"/>
  <c r="I90" i="4" s="1"/>
  <c r="J10" i="7"/>
  <c r="L10" i="7" s="1"/>
  <c r="H91" i="4" s="1"/>
  <c r="H13" i="7"/>
  <c r="I95" i="4" s="1"/>
  <c r="L11" i="8"/>
  <c r="L14" i="8"/>
  <c r="B34" i="6" s="1"/>
  <c r="L16" i="8"/>
  <c r="B33" i="6" s="1"/>
  <c r="M19" i="8"/>
  <c r="B21" i="6" s="1"/>
  <c r="J19" i="8"/>
  <c r="O19" i="8" s="1"/>
  <c r="G44" i="6"/>
  <c r="H7" i="8"/>
  <c r="O108" i="7"/>
  <c r="L20" i="8"/>
  <c r="B38" i="6" s="1"/>
  <c r="L22" i="8"/>
  <c r="B37" i="6" s="1"/>
  <c r="J5" i="8"/>
  <c r="O5" i="8" s="1"/>
  <c r="M12" i="8"/>
  <c r="J12" i="8"/>
  <c r="O12" i="8" s="1"/>
  <c r="G64" i="5"/>
  <c r="I62" i="5"/>
  <c r="D74" i="5"/>
  <c r="F63" i="5"/>
  <c r="I73" i="5"/>
  <c r="C66" i="5"/>
  <c r="I3" i="7"/>
  <c r="I19" i="7"/>
  <c r="I11" i="7"/>
  <c r="H23" i="7"/>
  <c r="I102" i="4" s="1"/>
  <c r="J24" i="7"/>
  <c r="L24" i="7" s="1"/>
  <c r="H102" i="4" s="1"/>
  <c r="L53" i="7"/>
  <c r="G82" i="4" s="1"/>
  <c r="H53" i="7"/>
  <c r="I82" i="4" s="1"/>
  <c r="G63" i="5"/>
  <c r="L39" i="7"/>
  <c r="G72" i="4" s="1"/>
  <c r="H39" i="7"/>
  <c r="I72" i="4" s="1"/>
  <c r="G13" i="6"/>
  <c r="H13" i="4"/>
  <c r="H18" i="8"/>
  <c r="H16" i="8"/>
  <c r="J15" i="8"/>
  <c r="O15" i="8" s="1"/>
  <c r="H17" i="8"/>
  <c r="I20" i="8"/>
  <c r="D63" i="5"/>
  <c r="J10" i="8"/>
  <c r="O10" i="8" s="1"/>
  <c r="M10" i="8"/>
  <c r="H9" i="8"/>
  <c r="C87" i="3"/>
  <c r="C97" i="3"/>
  <c r="D128" i="4" s="1"/>
  <c r="H7" i="4"/>
  <c r="A20" i="4"/>
  <c r="C64" i="5"/>
  <c r="C17" i="3"/>
  <c r="C16" i="3"/>
  <c r="C63" i="5"/>
  <c r="F7" i="4"/>
  <c r="H23" i="8"/>
  <c r="H24" i="8"/>
  <c r="H22" i="8"/>
  <c r="K12" i="8"/>
  <c r="M21" i="8"/>
  <c r="G38" i="6" s="1"/>
  <c r="H20" i="8"/>
  <c r="J21" i="8"/>
  <c r="O21" i="8" s="1"/>
  <c r="K9" i="8"/>
  <c r="G42" i="1"/>
  <c r="C98" i="3"/>
  <c r="H128" i="4" s="1"/>
  <c r="F50" i="6"/>
  <c r="A48" i="6" s="1"/>
  <c r="A50" i="6"/>
  <c r="D64" i="5"/>
  <c r="E7" i="6"/>
  <c r="J12" i="7"/>
  <c r="L12" i="7" s="1"/>
  <c r="H94" i="4" s="1"/>
  <c r="H11" i="7"/>
  <c r="I94" i="4" s="1"/>
  <c r="K57" i="7"/>
  <c r="C100" i="3"/>
  <c r="L5" i="8"/>
  <c r="B25" i="6" s="1"/>
  <c r="J8" i="8"/>
  <c r="O8" i="8" s="1"/>
  <c r="M15" i="8"/>
  <c r="K20" i="8"/>
  <c r="M24" i="8"/>
  <c r="F40" i="6" s="1"/>
  <c r="J24" i="8"/>
  <c r="O24" i="8" s="1"/>
  <c r="O51" i="8"/>
  <c r="H21" i="7"/>
  <c r="I101" i="4" s="1"/>
  <c r="H8" i="4"/>
  <c r="J167" i="4"/>
  <c r="A184" i="4" s="1"/>
  <c r="A167" i="4"/>
  <c r="C134" i="3"/>
  <c r="F64" i="5"/>
  <c r="H3" i="7"/>
  <c r="I88" i="4" s="1"/>
  <c r="J4" i="7"/>
  <c r="L4" i="7" s="1"/>
  <c r="H88" i="4" s="1"/>
  <c r="H19" i="7"/>
  <c r="I100" i="4" s="1"/>
  <c r="O107" i="7"/>
  <c r="L107" i="7"/>
  <c r="H3" i="8"/>
  <c r="M11" i="8"/>
  <c r="J11" i="8"/>
  <c r="O11" i="8" s="1"/>
  <c r="M13" i="8"/>
  <c r="J13" i="8"/>
  <c r="O13" i="8" s="1"/>
  <c r="H11" i="8"/>
  <c r="H13" i="8"/>
  <c r="G39" i="6"/>
  <c r="G37" i="6"/>
  <c r="H8" i="5"/>
  <c r="G81" i="5" s="1"/>
  <c r="D72" i="5"/>
  <c r="J26" i="7"/>
  <c r="L26" i="7" s="1"/>
  <c r="H103" i="4" s="1"/>
  <c r="H25" i="7"/>
  <c r="I103" i="4" s="1"/>
  <c r="K55" i="7"/>
  <c r="C99" i="3"/>
  <c r="C131" i="4" s="1"/>
  <c r="J69" i="7"/>
  <c r="M4" i="8"/>
  <c r="J4" i="8"/>
  <c r="K7" i="8"/>
  <c r="K6" i="8"/>
  <c r="H5" i="8"/>
  <c r="C65" i="5"/>
  <c r="H72" i="5"/>
  <c r="M22" i="8"/>
  <c r="F38" i="6" s="1"/>
  <c r="J22" i="8"/>
  <c r="O22" i="8" s="1"/>
  <c r="J6" i="7"/>
  <c r="L6" i="7" s="1"/>
  <c r="H89" i="4" s="1"/>
  <c r="J20" i="7"/>
  <c r="L20" i="7" s="1"/>
  <c r="H100" i="4" s="1"/>
  <c r="L43" i="7"/>
  <c r="G75" i="4" s="1"/>
  <c r="I3" i="8"/>
  <c r="I9" i="8"/>
  <c r="J16" i="8"/>
  <c r="O16" i="8" s="1"/>
  <c r="J18" i="8"/>
  <c r="O18" i="8" s="1"/>
  <c r="J23" i="8"/>
  <c r="O23" i="8" s="1"/>
  <c r="J27" i="8"/>
  <c r="H37" i="7"/>
  <c r="I71" i="4" s="1"/>
  <c r="J17" i="8"/>
  <c r="O17" i="8" s="1"/>
  <c r="J70" i="7"/>
  <c r="L3" i="8"/>
  <c r="B26" i="6" s="1"/>
  <c r="L9" i="8"/>
  <c r="M51" i="8"/>
  <c r="K24" i="8" l="1"/>
  <c r="K22" i="8"/>
  <c r="K3" i="8"/>
  <c r="C74" i="4"/>
  <c r="C81" i="4"/>
  <c r="K14" i="8"/>
  <c r="A22" i="6"/>
  <c r="K19" i="7"/>
  <c r="C102" i="4" s="1"/>
  <c r="C101" i="4"/>
  <c r="H36" i="6"/>
  <c r="Q18" i="8"/>
  <c r="G34" i="6"/>
  <c r="G35" i="6"/>
  <c r="G33" i="6"/>
  <c r="G36" i="6"/>
  <c r="N11" i="8"/>
  <c r="N9" i="8"/>
  <c r="H34" i="6"/>
  <c r="Q16" i="8"/>
  <c r="P108" i="7"/>
  <c r="C112" i="3" s="1"/>
  <c r="A177" i="4" s="1"/>
  <c r="C78" i="4"/>
  <c r="C76" i="4"/>
  <c r="C83" i="4"/>
  <c r="C79" i="4"/>
  <c r="J130" i="4"/>
  <c r="H130" i="4"/>
  <c r="G26" i="6"/>
  <c r="G27" i="6"/>
  <c r="G25" i="6"/>
  <c r="G28" i="6"/>
  <c r="J147" i="4"/>
  <c r="J149" i="4"/>
  <c r="G147" i="4"/>
  <c r="J148" i="4"/>
  <c r="G146" i="4"/>
  <c r="C152" i="4"/>
  <c r="H148" i="4"/>
  <c r="G149" i="4"/>
  <c r="J146" i="4"/>
  <c r="H146" i="4"/>
  <c r="G148" i="4"/>
  <c r="G150" i="4"/>
  <c r="H150" i="4"/>
  <c r="J150" i="4"/>
  <c r="H147" i="4"/>
  <c r="D131" i="4"/>
  <c r="H149" i="4"/>
  <c r="H37" i="6"/>
  <c r="Q20" i="8"/>
  <c r="K5" i="8"/>
  <c r="H35" i="6"/>
  <c r="Q17" i="8"/>
  <c r="Q24" i="8"/>
  <c r="H40" i="6"/>
  <c r="K11" i="7"/>
  <c r="C96" i="4" s="1"/>
  <c r="C95" i="4"/>
  <c r="H39" i="6"/>
  <c r="Q23" i="8"/>
  <c r="N5" i="8"/>
  <c r="N3" i="8"/>
  <c r="K3" i="7"/>
  <c r="C90" i="4" s="1"/>
  <c r="K5" i="7"/>
  <c r="C88" i="4" s="1"/>
  <c r="C89" i="4"/>
  <c r="K23" i="8"/>
  <c r="Q3" i="8"/>
  <c r="H25" i="6"/>
  <c r="P51" i="8"/>
  <c r="C113" i="3" s="1"/>
  <c r="A57" i="6" s="1"/>
  <c r="K11" i="8"/>
  <c r="K16" i="8"/>
  <c r="H141" i="4"/>
  <c r="G140" i="4"/>
  <c r="C130" i="4"/>
  <c r="G141" i="4"/>
  <c r="D140" i="4"/>
  <c r="D141" i="4"/>
  <c r="C141" i="4"/>
  <c r="H140" i="4"/>
  <c r="C140" i="4"/>
  <c r="D130" i="4"/>
  <c r="H38" i="6"/>
  <c r="Q22" i="8"/>
  <c r="H26" i="6"/>
  <c r="Q5" i="8"/>
  <c r="Q7" i="8"/>
  <c r="H28" i="6"/>
  <c r="N20" i="8"/>
  <c r="N22" i="8"/>
  <c r="K13" i="8"/>
  <c r="K18" i="8"/>
  <c r="P107" i="7"/>
  <c r="C111" i="3" s="1"/>
  <c r="A176" i="4" s="1"/>
  <c r="K17" i="8"/>
  <c r="G40" i="6"/>
  <c r="S6" i="8" l="1"/>
  <c r="A4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<sst xmlns="http://schemas.openxmlformats.org/spreadsheetml/2006/main" count="1659" uniqueCount="967">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</sst>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15" tableType="queryTable" totalsRowShown="0">
  <autoFilter ref="A1:O15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15" tableType="queryTable" totalsRowShown="0">
  <autoFilter ref="A1:M15" xr:uid="{CC64949A-B3D0-43BF-8DB4-46BCDE60C56E}"/>
  <tableColumns count="13">
    <tableColumn id="1" xr3:uid="{0477E0CB-56D7-4DB7-80B6-3CAA0A1F1BF6}" uniqueName="1" name="TestReportID" queryTableFieldId="1" dataDxfId="19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18"/>
    <tableColumn id="5" xr3:uid="{C5BCC19C-C12D-4572-B265-DB152E2A2AB9}" uniqueName="5" name="IgnoreBefore" queryTableFieldId="5" dataDxfId="17"/>
    <tableColumn id="6" xr3:uid="{811F3344-3E25-4F43-A4BE-CE087486E72D}" uniqueName="6" name="Start" queryTableFieldId="6" dataDxfId="16"/>
    <tableColumn id="7" xr3:uid="{3F81839A-2003-48E9-A716-6BB36D1C6AB3}" uniqueName="7" name="Stop" queryTableFieldId="7" dataDxfId="15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10" tableType="queryTable" totalsRowShown="0">
  <autoFilter ref="A1:N10" xr:uid="{CC45534E-421B-4907-9A21-A839ADEBE189}"/>
  <tableColumns count="14">
    <tableColumn id="1" xr3:uid="{75D31BCD-A0CA-4DE6-9AD0-85830399D0A7}" uniqueName="1" name="TestReportID" queryTableFieldId="1" dataDxfId="13" dataCellStyle="Standard 2"/>
    <tableColumn id="2" xr3:uid="{5D4D1261-5FEE-49D5-ADA3-C38800FD4C89}" uniqueName="2" name="TestReportOrder" queryTableFieldId="2" dataDxfId="12" dataCellStyle="Standard 2"/>
    <tableColumn id="3" xr3:uid="{099662ED-1B4C-4E18-9AA1-A21B05A128B9}" uniqueName="3" name="ProgOrderNumber" queryTableFieldId="3" dataDxfId="11" dataCellStyle="Standard 2"/>
    <tableColumn id="4" xr3:uid="{3AED8B66-6D40-410B-B459-E90B3B46D667}" uniqueName="4" name="MeasNumber" queryTableFieldId="4" dataDxfId="10" dataCellStyle="Standard 2"/>
    <tableColumn id="5" xr3:uid="{72CECEC8-AC9B-4254-AF6D-6D16AF56FAFC}" uniqueName="5" name="Threshold" queryTableFieldId="5" dataDxfId="9" dataCellStyle="Standard 2"/>
    <tableColumn id="6" xr3:uid="{258914FD-FF73-41A6-8DCB-A6D159AA09C7}" uniqueName="6" name="MeasureOn" queryTableFieldId="6" dataDxfId="8" dataCellStyle="Standard 2"/>
    <tableColumn id="7" xr3:uid="{CDAD9E67-D31E-4022-9EF1-FFC923223171}" uniqueName="7" name="NominalValue" queryTableFieldId="7" dataDxfId="7" dataCellStyle="Standard 2"/>
    <tableColumn id="8" xr3:uid="{88ADC831-35B0-4AC6-9FE4-D4525C4A4EBF}" uniqueName="8" name="PositiveTolerance" queryTableFieldId="8" dataDxfId="6" dataCellStyle="Standard 2"/>
    <tableColumn id="9" xr3:uid="{71355CED-109D-4A1B-8405-772175EDB7ED}" uniqueName="9" name="NegativeTolerance" queryTableFieldId="9" dataDxfId="5" dataCellStyle="Standard 2"/>
    <tableColumn id="10" xr3:uid="{27EB0FA5-7217-4082-9CFD-9E8FCFCD0906}" uniqueName="10" name="ActualValue" queryTableFieldId="10" dataDxfId="4" dataCellStyle="Standard 2"/>
    <tableColumn id="11" xr3:uid="{3198DD03-40DA-4324-AC1C-5232CFF1F9F5}" uniqueName="11" name="Deviation" queryTableFieldId="11" dataDxfId="3" dataCellStyle="Standard 2"/>
    <tableColumn id="12" xr3:uid="{431A18A0-DF5F-4626-92BD-2456497229C3}" uniqueName="12" name="Assessment" queryTableFieldId="12" dataDxfId="2" dataCellStyle="Standard 2"/>
    <tableColumn id="13" xr3:uid="{635758B2-D882-4ACB-9C9B-D2DA1E0F96AA}" uniqueName="13" name="TimeAtMeasurement" queryTableFieldId="13" dataDxfId="1" dataCellStyle="Standard 2"/>
    <tableColumn id="14" xr3:uid="{C6107B19-B213-405C-868E-499FCA58A242}" uniqueName="14" name="IsTolerancePercent" queryTableFieldId="14" dataDxfId="0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INDEX(Measurements!$A:$X,MATCH(C3,Measurements!$E:$E,0),9)</f>
        <v>#REF!</v>
      </c>
      <c r="E3" s="440" t="e">
        <f>INDEX(Measurements!$A:$X,MATCH(C3,Measurements!$E:$E,0),10)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INDEX(Measurements!$A:$X,MATCH(C4,Measurements!$E:$E,0),9)</f>
        <v>#REF!</v>
      </c>
      <c r="E4" s="440" t="e">
        <f>INDEX(Measurements!$A:$X,MATCH(C4,Measurements!$E:$E,0),10)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INDEX(Measurements!$A:$X,MATCH(C5,Measurements!$E:$E,0),9)</f>
        <v>#REF!</v>
      </c>
      <c r="E5" s="440" t="e">
        <f>INDEX(Measurements!$A:$X,MATCH(C5,Measurements!$E:$E,0),10)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INDEX(Measurements!$A:$X,MATCH(C6,Measurements!$E:$E,0),9)</f>
        <v>#REF!</v>
      </c>
      <c r="E6" s="440" t="e">
        <f>INDEX(Measurements!$A:$X,MATCH(C6,Measurements!$E:$E,0),10)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INDEX(Measurements!$A:$X,MATCH(C7,Measurements!$E:$E,0),9)</f>
        <v>#REF!</v>
      </c>
      <c r="E7" s="440" t="e">
        <f>INDEX(Measurements!$A:$X,MATCH(C7,Measurements!$E:$E,0),10)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INDEX(Measurements!$A:$X,MATCH(C8,Measurements!$E:$E,0),9)</f>
        <v>#REF!</v>
      </c>
      <c r="E8" s="440" t="e">
        <f>INDEX(Measurements!$A:$X,MATCH(C8,Measurements!$E:$E,0),10)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INDEX(Measurements!$A:$X,MATCH(C9,Measurements!$E:$E,0),9)</f>
        <v>#REF!</v>
      </c>
      <c r="E9" s="440" t="e">
        <f>INDEX(Measurements!$A:$X,MATCH(C9,Measurements!$E:$E,0),10)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INDEX(Measurements!$A:$X,MATCH(C10,Measurements!$E:$E,0),9)</f>
        <v>#REF!</v>
      </c>
      <c r="E10" s="440" t="e">
        <f>INDEX(Measurements!$A:$X,MATCH(C10,Measurements!$E:$E,0),10)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INDEX(Measurements!$A:$X,MATCH(C11,Measurements!$E:$E,0),9)</f>
        <v>#REF!</v>
      </c>
      <c r="E11" s="440" t="e">
        <f>INDEX(Measurements!$A:$X,MATCH(C11,Measurements!$E:$E,0),10)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INDEX(Measurements!$A:$X,MATCH(C12,Measurements!$E:$E,0),9)</f>
        <v>#REF!</v>
      </c>
      <c r="E12" s="440" t="e">
        <f>INDEX(Measurements!$A:$X,MATCH(C12,Measurements!$E:$E,0),10)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INDEX(Measurements!$A:$X,MATCH(C13,Measurements!$E:$E,0),9)</f>
        <v>#REF!</v>
      </c>
      <c r="E13" s="440" t="e">
        <f>INDEX(Measurements!$A:$X,MATCH(C13,Measurements!$E:$E,0),10)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INDEX(Measurements!$A:$X,MATCH(C14,Measurements!$E:$E,0),9)</f>
        <v>#REF!</v>
      </c>
      <c r="E14" s="440" t="e">
        <f>INDEX(Measurements!$A:$X,MATCH(C14,Measurements!$E:$E,0),10)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INDEX(Measurements!$A:$X,MATCH(C15,Measurements!$E:$E,0),9)</f>
        <v>#REF!</v>
      </c>
      <c r="E15" s="440" t="e">
        <f>INDEX(Measurements!$A:$X,MATCH(C15,Measurements!$E:$E,0),10)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INDEX(Measurements!$A:$X,MATCH(C16,Measurements!$E:$E,0),9)</f>
        <v>#REF!</v>
      </c>
      <c r="E16" s="440" t="e">
        <f>INDEX(Measurements!$A:$X,MATCH(C16,Measurements!$E:$E,0),10)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INDEX(Measurements!$A:$X,MATCH(C17,Measurements!$E:$E,0),9)</f>
        <v>#REF!</v>
      </c>
      <c r="E17" s="440" t="e">
        <f>INDEX(Measurements!$A:$X,MATCH(C17,Measurements!$E:$E,0),10)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INDEX(Measurements!$A:$X,MATCH(C18,Measurements!$E:$E,0),9)</f>
        <v>#REF!</v>
      </c>
      <c r="E18" s="440" t="e">
        <f>INDEX(Measurements!$A:$X,MATCH(C18,Measurements!$E:$E,0),10)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INDEX(Measurements!$A:$X,MATCH(C19,Measurements!$E:$E,0),9)</f>
        <v>#REF!</v>
      </c>
      <c r="E19" s="440" t="e">
        <f>INDEX(Measurements!$A:$X,MATCH(C19,Measurements!$E:$E,0),10)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INDEX(Measurements!$A:$X,MATCH(C20,Measurements!$E:$E,0),9)</f>
        <v>#REF!</v>
      </c>
      <c r="E20" s="440" t="e">
        <f>INDEX(Measurements!$A:$X,MATCH(C20,Measurements!$E:$E,0),10)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INDEX(Measurements!$A:$X,MATCH(C21,Measurements!$E:$E,0),9)</f>
        <v>#REF!</v>
      </c>
      <c r="E21" s="440" t="e">
        <f>INDEX(Measurements!$A:$X,MATCH(C21,Measurements!$E:$E,0),10)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INDEX(Measurements!$A:$X,MATCH(C22,Measurements!$E:$E,0),9)</f>
        <v>#REF!</v>
      </c>
      <c r="E22" s="440" t="e">
        <f>INDEX(Measurements!$A:$X,MATCH(C22,Measurements!$E:$E,0),10)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INDEX(Measurements!$A:$X,MATCH(C23,Measurements!$E:$E,0),9)</f>
        <v>#REF!</v>
      </c>
      <c r="E23" s="440" t="e">
        <f>INDEX(Measurements!$A:$X,MATCH(C23,Measurements!$E:$E,0),10)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INDEX(Measurements!$A:$X,MATCH(C24,Measurements!$E:$E,0),9)</f>
        <v>#REF!</v>
      </c>
      <c r="E24" s="440" t="e">
        <f>INDEX(Measurements!$A:$X,MATCH(C24,Measurements!$E:$E,0),10)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INDEX(Measurements!$A:$X,MATCH(C25,Measurements!$E:$E,0),9)</f>
        <v>#REF!</v>
      </c>
      <c r="E25" s="440" t="e">
        <f>INDEX(Measurements!$A:$X,MATCH(C25,Measurements!$E:$E,0),10)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INDEX(Measurements!$A:$X,MATCH(C26,Measurements!$E:$E,0),9)</f>
        <v>#REF!</v>
      </c>
      <c r="E26" s="440" t="e">
        <f>INDEX(Measurements!$A:$X,MATCH(C26,Measurements!$E:$E,0),10)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INDEX(Measurements!$A:$X,MATCH(C27,Measurements!$E:$E,0),9)</f>
        <v>#REF!</v>
      </c>
      <c r="E27" s="440" t="e">
        <f>INDEX(Measurements!$A:$X,MATCH(C27,Measurements!$E:$E,0),10)</f>
        <v>#REF!</v>
      </c>
      <c r="F27" s="638" t="str">
        <f>IF(IFERROR(INDEX(Measurements!$A:$X,MATCH(C27,Measurements!$E:$E,0),9),),D27/1000000,"-")</f>
        <v>-</v>
      </c>
      <c r="G27" s="638" t="str">
        <f>IF(IFERROR(INDEX(Measurements!$A:$X,MATCH(C27,Measurements!$E:$E,0),9),),E27/1000000,"-")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INDEX(Measurements!$A:$X,MATCH(C28,Measurements!$E:$E,0),9)</f>
        <v>#REF!</v>
      </c>
      <c r="E28" s="440" t="e">
        <f>INDEX(Measurements!$A:$X,MATCH(C28,Measurements!$E:$E,0),10)</f>
        <v>#REF!</v>
      </c>
      <c r="F28" s="638" t="str">
        <f>IF(IFERROR(INDEX(Measurements!$A:$X,MATCH(C28,Measurements!$E:$E,0),9),),D28/1000000,"-")</f>
        <v>-</v>
      </c>
      <c r="G28" s="638" t="str">
        <f>IF(IFERROR(INDEX(Measurements!$A:$X,MATCH(C28,Measurements!$E:$E,0),9),),E28/1000000,"-")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INDEX(Measurements!$A:$X,MATCH(C29,Measurements!$E:$E,0),9)</f>
        <v>#REF!</v>
      </c>
      <c r="E29" s="440" t="e">
        <f>INDEX(Measurements!$A:$X,MATCH(C29,Measurements!$E:$E,0),10)</f>
        <v>#REF!</v>
      </c>
      <c r="F29" s="638" t="str">
        <f>IF(IFERROR(INDEX(Measurements!$A:$X,MATCH(C29,Measurements!$E:$E,0),9),),D29/1000000,"-")</f>
        <v>-</v>
      </c>
      <c r="G29" s="638" t="str">
        <f>IF(IFERROR(INDEX(Measurements!$A:$X,MATCH(C29,Measurements!$E:$E,0),9),),E29/1000000,"-")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INDEX(Measurements!$A:$X,MATCH(C30,Measurements!$E:$E,0),9)</f>
        <v>#REF!</v>
      </c>
      <c r="E30" s="440" t="e">
        <f>INDEX(Measurements!$A:$X,MATCH(C30,Measurements!$E:$E,0),10)</f>
        <v>#REF!</v>
      </c>
      <c r="F30" s="638" t="str">
        <f>IF(IFERROR(INDEX(Measurements!$A:$X,MATCH(C30,Measurements!$E:$E,0),9),),D30/1000000,"-")</f>
        <v>-</v>
      </c>
      <c r="G30" s="638" t="str">
        <f>IF(IFERROR(INDEX(Measurements!$A:$X,MATCH(C30,Measurements!$E:$E,0),9),),E30/1000000,"-")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INDEX(Measurements!$A:$X,MATCH(C31,Measurements!$E:$E,0),9)</f>
        <v>#REF!</v>
      </c>
      <c r="E31" s="440" t="e">
        <f>INDEX(Measurements!$A:$X,MATCH(C31,Measurements!$E:$E,0),10)</f>
        <v>#REF!</v>
      </c>
      <c r="F31" s="638" t="str">
        <f>IF(IFERROR(INDEX(Measurements!$A:$X,MATCH(C31,Measurements!$E:$E,0),9),),D31/1000000,"-")</f>
        <v>-</v>
      </c>
      <c r="G31" s="638" t="str">
        <f>IF(IFERROR(INDEX(Measurements!$A:$X,MATCH(C31,Measurements!$E:$E,0),9),),E31/1000000,"-")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INDEX(Measurements!$A:$X,MATCH(C32,Measurements!$E:$E,0),9)</f>
        <v>#REF!</v>
      </c>
      <c r="E32" s="440" t="e">
        <f>INDEX(Measurements!$A:$X,MATCH(C32,Measurements!$E:$E,0),10)</f>
        <v>#REF!</v>
      </c>
      <c r="F32" s="638" t="str">
        <f>IF(IFERROR(INDEX(Measurements!$A:$X,MATCH(C32,Measurements!$E:$E,0),9),),D32/1000000,"-")</f>
        <v>-</v>
      </c>
      <c r="G32" s="638" t="str">
        <f>IF(IFERROR(INDEX(Measurements!$A:$X,MATCH(C32,Measurements!$E:$E,0),9),),E32/1000000,"-")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INDEX(Measurements!$A:$X,MATCH(C33,Measurements!$E:$E,0),9)</f>
        <v>#REF!</v>
      </c>
      <c r="E33" s="440" t="e">
        <f>INDEX(Measurements!$A:$X,MATCH(C33,Measurements!$E:$E,0),10)</f>
        <v>#REF!</v>
      </c>
      <c r="F33" s="638" t="str">
        <f>IF(IFERROR(INDEX(Measurements!$A:$X,MATCH(C33,Measurements!$E:$E,0),9),),D33/1000000,"-")</f>
        <v>-</v>
      </c>
      <c r="G33" s="638" t="str">
        <f>IF(IFERROR(INDEX(Measurements!$A:$X,MATCH(C33,Measurements!$E:$E,0),9),),E33/1000000,"-")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INDEX(Measurements!$A:$X,MATCH(C34,Measurements!$E:$E,0),9)</f>
        <v>#REF!</v>
      </c>
      <c r="E34" s="452" t="e">
        <f>INDEX(Measurements!$A:$X,MATCH(C34,Measurements!$E:$E,0),10)</f>
        <v>#REF!</v>
      </c>
      <c r="F34" s="641" t="str">
        <f>IF(IFERROR(INDEX(Measurements!$A:$X,MATCH(C34,Measurements!$E:$E,0),9),),D34/1000000,"-")</f>
        <v>-</v>
      </c>
      <c r="G34" s="641" t="str">
        <f>IF(IFERROR(INDEX(Measurements!$A:$X,MATCH(C34,Measurements!$E:$E,0),9),),E34/1000000,"-")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INDEX(Measurements!$A:$X,MATCH(C35,Measurements!$E:$E,0),9)</f>
        <v>#REF!</v>
      </c>
      <c r="E35" s="440" t="e">
        <f>INDEX(Measurements!$A:$X,MATCH(C35,Measurements!$E:$E,0),10)</f>
        <v>#REF!</v>
      </c>
      <c r="F35" s="638" t="str">
        <f>IF(IFERROR(INDEX(Measurements!$A:$X,MATCH(C35,Measurements!$E:$E,0),9),),D35/1000000,"-")</f>
        <v>-</v>
      </c>
      <c r="G35" s="638" t="str">
        <f>IF(IFERROR(INDEX(Measurements!$A:$X,MATCH(C35,Measurements!$E:$E,0),9),),E35/1000000,"-")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INDEX(Measurements!$A:$X,MATCH(C36,Measurements!$E:$E,0),9)</f>
        <v>#REF!</v>
      </c>
      <c r="E36" s="440" t="e">
        <f>INDEX(Measurements!$A:$X,MATCH(C36,Measurements!$E:$E,0),10)</f>
        <v>#REF!</v>
      </c>
      <c r="F36" s="638" t="str">
        <f>IF(IFERROR(INDEX(Measurements!$A:$X,MATCH(C36,Measurements!$E:$E,0),9),),D36/1000000,"-")</f>
        <v>-</v>
      </c>
      <c r="G36" s="638" t="str">
        <f>IF(IFERROR(INDEX(Measurements!$A:$X,MATCH(C36,Measurements!$E:$E,0),9),),E36/1000000,"-")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INDEX(Measurements!$A:$X,MATCH(C37,Measurements!$E:$E,0),9)</f>
        <v>#REF!</v>
      </c>
      <c r="E37" s="440" t="e">
        <f>INDEX(Measurements!$A:$X,MATCH(C37,Measurements!$E:$E,0),10)</f>
        <v>#REF!</v>
      </c>
      <c r="F37" s="638" t="str">
        <f>IF(IFERROR(INDEX(Measurements!$A:$X,MATCH(C37,Measurements!$E:$E,0),9),),D37/1000000,"-")</f>
        <v>-</v>
      </c>
      <c r="G37" s="638" t="str">
        <f>IF(IFERROR(INDEX(Measurements!$A:$X,MATCH(C37,Measurements!$E:$E,0),9),),E37/1000000,"-")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INDEX(Measurements!$A:$X,MATCH(C38,Measurements!$E:$E,0),9)</f>
        <v>#REF!</v>
      </c>
      <c r="E38" s="440" t="e">
        <f>INDEX(Measurements!$A:$X,MATCH(C38,Measurements!$E:$E,0),10)</f>
        <v>#REF!</v>
      </c>
      <c r="F38" s="638" t="str">
        <f>IF(IFERROR(INDEX(Measurements!$A:$X,MATCH(C38,Measurements!$E:$E,0),9),),D38/1000000,"-")</f>
        <v>-</v>
      </c>
      <c r="G38" s="638" t="str">
        <f>IF(IFERROR(INDEX(Measurements!$A:$X,MATCH(C38,Measurements!$E:$E,0),9),),E38/1000000,"-")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INDEX(Measurements!$A:$X,MATCH(C39,Measurements!$E:$E,0),9)</f>
        <v>#REF!</v>
      </c>
      <c r="E39" s="440" t="e">
        <f>INDEX(Measurements!$A:$X,MATCH(C39,Measurements!$E:$E,0),10)</f>
        <v>#REF!</v>
      </c>
      <c r="F39" s="638" t="str">
        <f>IF(IFERROR(INDEX(Measurements!$A:$X,MATCH(C39,Measurements!$E:$E,0),9),),D39/1000000,"-")</f>
        <v>-</v>
      </c>
      <c r="G39" s="638" t="str">
        <f>IF(IFERROR(INDEX(Measurements!$A:$X,MATCH(C39,Measurements!$E:$E,0),9),),E39/1000000,"-")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INDEX(Measurements!$A:$X,MATCH(C40,Measurements!$E:$E,0),9)</f>
        <v>#REF!</v>
      </c>
      <c r="E40" s="440" t="e">
        <f>INDEX(Measurements!$A:$X,MATCH(C40,Measurements!$E:$E,0),10)</f>
        <v>#REF!</v>
      </c>
      <c r="F40" s="638" t="str">
        <f>IF(IFERROR(INDEX(Measurements!$A:$X,MATCH(C40,Measurements!$E:$E,0),9),),D40/1000000,"-")</f>
        <v>-</v>
      </c>
      <c r="G40" s="638" t="str">
        <f>IF(IFERROR(INDEX(Measurements!$A:$X,MATCH(C40,Measurements!$E:$E,0),9),),E40/1000000,"-")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INDEX(Measurements!$A:$X,MATCH(C41,Measurements!$E:$E,0),9)</f>
        <v>#REF!</v>
      </c>
      <c r="E41" s="440" t="e">
        <f>INDEX(Measurements!$A:$X,MATCH(C41,Measurements!$E:$E,0),10)</f>
        <v>#REF!</v>
      </c>
      <c r="F41" s="638" t="str">
        <f>IF(IFERROR(INDEX(Measurements!$A:$X,MATCH(C41,Measurements!$E:$E,0),9),),D41/1000000,"-")</f>
        <v>-</v>
      </c>
      <c r="G41" s="638" t="str">
        <f>IF(IFERROR(INDEX(Measurements!$A:$X,MATCH(C41,Measurements!$E:$E,0),9),),E41/1000000,"-")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INDEX(Measurements!$A:$X,MATCH(C42,Measurements!$E:$E,0),9)</f>
        <v>#REF!</v>
      </c>
      <c r="E42" s="452" t="e">
        <f>INDEX(Measurements!$A:$X,MATCH(C42,Measurements!$E:$E,0),10)</f>
        <v>#REF!</v>
      </c>
      <c r="F42" s="641" t="str">
        <f>IF(IFERROR(INDEX(Measurements!$A:$X,MATCH(C42,Measurements!$E:$E,0),9),),D42/1000000,"-")</f>
        <v>-</v>
      </c>
      <c r="G42" s="641" t="str">
        <f>IF(IFERROR(INDEX(Measurements!$A:$X,MATCH(C42,Measurements!$E:$E,0),9),),E42/1000000,"-")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INDEX(Measurements!$A:$X,MATCH(C43,Measurements!$E:$E,0),9)</f>
        <v>#REF!</v>
      </c>
      <c r="E43" s="455" t="e">
        <f>INDEX(Measurements!$A:$X,MATCH(C43,Measurements!$E:$E,0),10)</f>
        <v>#REF!</v>
      </c>
      <c r="F43" s="642" t="str">
        <f>IF(IFERROR(INDEX(Measurements!$A:$X,MATCH(C43,Measurements!$E:$E,0),9),),D43/1000000,"-")</f>
        <v>-</v>
      </c>
      <c r="G43" s="642" t="str">
        <f>IF(IFERROR(INDEX(Measurements!$A:$X,MATCH(C43,Measurements!$E:$E,0),9),),E43/1000000,"-")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INDEX(Measurements!$A:$X,MATCH(C44,Measurements!$E:$E,0),9)</f>
        <v>#REF!</v>
      </c>
      <c r="E44" s="440" t="e">
        <f>INDEX(Measurements!$A:$X,MATCH(C44,Measurements!$E:$E,0),10)</f>
        <v>#REF!</v>
      </c>
      <c r="F44" s="638" t="str">
        <f>IF(IFERROR(INDEX(Measurements!$A:$X,MATCH(C44,Measurements!$E:$E,0),9),),D44/1000000,"-")</f>
        <v>-</v>
      </c>
      <c r="G44" s="638" t="str">
        <f>IF(IFERROR(INDEX(Measurements!$A:$X,MATCH(C44,Measurements!$E:$E,0),9),),E44/1000000,"-")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INDEX(Measurements!$A:$X,MATCH(C45,Measurements!$E:$E,0),9)</f>
        <v>#REF!</v>
      </c>
      <c r="E45" s="440" t="e">
        <f>INDEX(Measurements!$A:$X,MATCH(C45,Measurements!$E:$E,0),10)</f>
        <v>#REF!</v>
      </c>
      <c r="F45" s="638" t="str">
        <f>IF(IFERROR(INDEX(Measurements!$A:$X,MATCH(C45,Measurements!$E:$E,0),9),),D45/1000000,"-")</f>
        <v>-</v>
      </c>
      <c r="G45" s="638" t="str">
        <f>IF(IFERROR(INDEX(Measurements!$A:$X,MATCH(C45,Measurements!$E:$E,0),9),),E45/1000000,"-")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INDEX(Measurements!$A:$X,MATCH(C46,Measurements!$E:$E,0),9)</f>
        <v>#REF!</v>
      </c>
      <c r="E46" s="440" t="e">
        <f>INDEX(Measurements!$A:$X,MATCH(C46,Measurements!$E:$E,0),10)</f>
        <v>#REF!</v>
      </c>
      <c r="F46" s="638" t="str">
        <f>IF(IFERROR(INDEX(Measurements!$A:$X,MATCH(C46,Measurements!$E:$E,0),9),),D46/1000000,"-")</f>
        <v>-</v>
      </c>
      <c r="G46" s="638" t="str">
        <f>IF(IFERROR(INDEX(Measurements!$A:$X,MATCH(C46,Measurements!$E:$E,0),9),),E46/1000000,"-")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INDEX(Measurements!$A:$X,MATCH(C47,Measurements!$E:$E,0),9)</f>
        <v>#REF!</v>
      </c>
      <c r="E47" s="440" t="e">
        <f>INDEX(Measurements!$A:$X,MATCH(C47,Measurements!$E:$E,0),10)</f>
        <v>#REF!</v>
      </c>
      <c r="F47" s="638" t="str">
        <f>IF(IFERROR(INDEX(Measurements!$A:$X,MATCH(C47,Measurements!$E:$E,0),9),),D47/1000000,"-")</f>
        <v>-</v>
      </c>
      <c r="G47" s="638" t="str">
        <f>IF(IFERROR(INDEX(Measurements!$A:$X,MATCH(C47,Measurements!$E:$E,0),9),),E47/1000000,"-")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INDEX(Measurements!$A:$X,MATCH(C48,Measurements!$E:$E,0),9)</f>
        <v>#REF!</v>
      </c>
      <c r="E48" s="452" t="e">
        <f>INDEX(Measurements!$A:$X,MATCH(C48,Measurements!$E:$E,0),10)</f>
        <v>#REF!</v>
      </c>
      <c r="F48" s="641" t="str">
        <f>IF(IFERROR(INDEX(Measurements!$A:$X,MATCH(C48,Measurements!$E:$E,0),9),),D48/1000000,"-")</f>
        <v>-</v>
      </c>
      <c r="G48" s="641" t="str">
        <f>IF(IFERROR(INDEX(Measurements!$A:$X,MATCH(C48,Measurements!$E:$E,0),9),),E48/1000000,"-")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INDEX(Measurements!$A:$X,MATCH(C49,Measurements!$E:$E,0),9)</f>
        <v>#REF!</v>
      </c>
      <c r="E49" s="455" t="e">
        <f>INDEX(Measurements!$A:$X,MATCH(C49,Measurements!$E:$E,0),10)</f>
        <v>#REF!</v>
      </c>
      <c r="F49" s="642" t="str">
        <f>IF(IFERROR(INDEX(Measurements!$A:$X,MATCH(C49,Measurements!$E:$E,0),9),),D49/1000000,"-")</f>
        <v>-</v>
      </c>
      <c r="G49" s="642" t="str">
        <f>IF(IFERROR(INDEX(Measurements!$A:$X,MATCH(C49,Measurements!$E:$E,0),9),),E49/1000000,"-")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INDEX(Measurements!$A:$X,MATCH(C50,Measurements!$E:$E,0),9)</f>
        <v>#REF!</v>
      </c>
      <c r="E50" s="440" t="e">
        <f>INDEX(Measurements!$A:$X,MATCH(C50,Measurements!$E:$E,0),10)</f>
        <v>#REF!</v>
      </c>
      <c r="F50" s="638" t="str">
        <f>IF(IFERROR(INDEX(Measurements!$A:$X,MATCH(C50,Measurements!$E:$E,0),9),),D50/1000000,"-")</f>
        <v>-</v>
      </c>
      <c r="G50" s="638" t="str">
        <f>IF(IFERROR(INDEX(Measurements!$A:$X,MATCH(C50,Measurements!$E:$E,0),9),),E50/1000000,"-")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INDEX(Measurements!$A:$X,MATCH(C51,Measurements!$E:$E,0),9)</f>
        <v>#REF!</v>
      </c>
      <c r="E51" s="440" t="e">
        <f>INDEX(Measurements!$A:$X,MATCH(C51,Measurements!$E:$E,0),10)</f>
        <v>#REF!</v>
      </c>
      <c r="F51" s="638" t="str">
        <f>IF(IFERROR(INDEX(Measurements!$A:$X,MATCH(C51,Measurements!$E:$E,0),9),),D51/1000000,"-")</f>
        <v>-</v>
      </c>
      <c r="G51" s="638" t="str">
        <f>IF(IFERROR(INDEX(Measurements!$A:$X,MATCH(C51,Measurements!$E:$E,0),9),),E51/1000000,"-")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INDEX(Measurements!$A:$X,MATCH(C52,Measurements!$E:$E,0),9)</f>
        <v>#REF!</v>
      </c>
      <c r="E52" s="440" t="e">
        <f>INDEX(Measurements!$A:$X,MATCH(C52,Measurements!$E:$E,0),10)</f>
        <v>#REF!</v>
      </c>
      <c r="F52" s="638" t="str">
        <f>IF(IFERROR(INDEX(Measurements!$A:$X,MATCH(C52,Measurements!$E:$E,0),9),),D52/1000000,"-")</f>
        <v>-</v>
      </c>
      <c r="G52" s="638" t="str">
        <f>IF(IFERROR(INDEX(Measurements!$A:$X,MATCH(C52,Measurements!$E:$E,0),9),),E52/1000000,"-")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INDEX(Measurements!$A:$X,MATCH(C53,Measurements!$E:$E,0),9)</f>
        <v>#REF!</v>
      </c>
      <c r="E53" s="440" t="e">
        <f>INDEX(Measurements!$A:$X,MATCH(C53,Measurements!$E:$E,0),10)</f>
        <v>#REF!</v>
      </c>
      <c r="F53" s="638" t="str">
        <f>IF(IFERROR(INDEX(Measurements!$A:$X,MATCH(C53,Measurements!$E:$E,0),9),),D53/1000000,"-")</f>
        <v>-</v>
      </c>
      <c r="G53" s="638" t="str">
        <f>IF(IFERROR(INDEX(Measurements!$A:$X,MATCH(C53,Measurements!$E:$E,0),9),),E53/1000000,"-")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INDEX(Measurements!$A:$X,MATCH(C54,Measurements!$E:$E,0),9)</f>
        <v>#REF!</v>
      </c>
      <c r="E54" s="452" t="e">
        <f>INDEX(Measurements!$A:$X,MATCH(C54,Measurements!$E:$E,0),10)</f>
        <v>#REF!</v>
      </c>
      <c r="F54" s="641" t="str">
        <f>IF(IFERROR(INDEX(Measurements!$A:$X,MATCH(C54,Measurements!$E:$E,0),9),),D54/1000000,"-")</f>
        <v>-</v>
      </c>
      <c r="G54" s="641" t="str">
        <f>IF(IFERROR(INDEX(Measurements!$A:$X,MATCH(C54,Measurements!$E:$E,0),9),),E54/1000000,"-")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INDEX(Measurements!$A:$X,MATCH(C55,Measurements!$E:$E,0),9)</f>
        <v>#REF!</v>
      </c>
      <c r="E55" s="440" t="e">
        <f>INDEX(Measurements!$A:$X,MATCH(C55,Measurements!$E:$E,0),10)</f>
        <v>#REF!</v>
      </c>
      <c r="F55" s="638" t="str">
        <f>IF(IFERROR(INDEX(Measurements!$A:$X,MATCH(C55,Measurements!$E:$E,0),9),),D55/1000000,"-")</f>
        <v>-</v>
      </c>
      <c r="G55" s="638" t="str">
        <f>IF(IFERROR(INDEX(Measurements!$A:$X,MATCH(C55,Measurements!$E:$E,0),9),),E55/1000000,"-")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INDEX(Measurements!$A:$X,MATCH(C56,Measurements!$E:$E,0),9)</f>
        <v>#REF!</v>
      </c>
      <c r="E56" s="440" t="e">
        <f>INDEX(Measurements!$A:$X,MATCH(C56,Measurements!$E:$E,0),10)</f>
        <v>#REF!</v>
      </c>
      <c r="F56" s="638" t="str">
        <f>IF(IFERROR(INDEX(Measurements!$A:$X,MATCH(C56,Measurements!$E:$E,0),9),),D56/1000000,"-")</f>
        <v>-</v>
      </c>
      <c r="G56" s="638" t="str">
        <f>IF(IFERROR(INDEX(Measurements!$A:$X,MATCH(C56,Measurements!$E:$E,0),9),),E56/1000000,"-")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INDEX(Measurements!$A:$X,MATCH(C57,Measurements!$E:$E,0),9)</f>
        <v>#REF!</v>
      </c>
      <c r="E57" s="440" t="e">
        <f>INDEX(Measurements!$A:$X,MATCH(C57,Measurements!$E:$E,0),10)</f>
        <v>#REF!</v>
      </c>
      <c r="F57" s="638" t="str">
        <f>IF(IFERROR(INDEX(Measurements!$A:$X,MATCH(C57,Measurements!$E:$E,0),9),),D57/1000000,"-")</f>
        <v>-</v>
      </c>
      <c r="G57" s="638" t="str">
        <f>IF(IFERROR(INDEX(Measurements!$A:$X,MATCH(C57,Measurements!$E:$E,0),9),),E57/1000000,"-")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INDEX(Measurements!$A:$X,MATCH(C58,Measurements!$E:$E,0),9)</f>
        <v>#REF!</v>
      </c>
      <c r="E58" s="440" t="e">
        <f>INDEX(Measurements!$A:$X,MATCH(C58,Measurements!$E:$E,0),10)</f>
        <v>#REF!</v>
      </c>
      <c r="F58" s="638" t="str">
        <f>IF(IFERROR(INDEX(Measurements!$A:$X,MATCH(C58,Measurements!$E:$E,0),9),),D58/1000000,"-")</f>
        <v>-</v>
      </c>
      <c r="G58" s="638" t="str">
        <f>IF(IFERROR(INDEX(Measurements!$A:$X,MATCH(C58,Measurements!$E:$E,0),9),),E58/1000000,"-")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INDEX(Measurements!$A:$X,MATCH(C59,Measurements!$E:$E,0),9)</f>
        <v>#REF!</v>
      </c>
      <c r="E59" s="440" t="e">
        <f>INDEX(Measurements!$A:$X,MATCH(C59,Measurements!$E:$E,0),10)</f>
        <v>#REF!</v>
      </c>
      <c r="F59" s="638" t="str">
        <f>IF(IFERROR(INDEX(Measurements!$A:$X,MATCH(C59,Measurements!$E:$E,0),9),),D59/1000000,"-")</f>
        <v>-</v>
      </c>
      <c r="G59" s="638" t="str">
        <f>IF(IFERROR(INDEX(Measurements!$A:$X,MATCH(C59,Measurements!$E:$E,0),9),),E59/1000000,"-")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INDEX(Measurements!$A:$X,MATCH(C60,Measurements!$E:$E,0),9)</f>
        <v>#REF!</v>
      </c>
      <c r="E60" s="440" t="e">
        <f>INDEX(Measurements!$A:$X,MATCH(C60,Measurements!$E:$E,0),10)</f>
        <v>#REF!</v>
      </c>
      <c r="F60" s="638" t="str">
        <f>IF(IFERROR(INDEX(Measurements!$A:$X,MATCH(C60,Measurements!$E:$E,0),9),),D60/1000000,"-")</f>
        <v>-</v>
      </c>
      <c r="G60" s="638" t="str">
        <f>IF(IFERROR(INDEX(Measurements!$A:$X,MATCH(C60,Measurements!$E:$E,0),9),),E60/1000000,"-")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INDEX(Measurements!$A:$X,MATCH(C61,Measurements!$E:$E,0),9)</f>
        <v>#REF!</v>
      </c>
      <c r="E61" s="440" t="e">
        <f>INDEX(Measurements!$A:$X,MATCH(C61,Measurements!$E:$E,0),10)</f>
        <v>#REF!</v>
      </c>
      <c r="F61" s="638" t="str">
        <f>IF(IFERROR(INDEX(Measurements!$A:$X,MATCH(C61,Measurements!$E:$E,0),9),),D61/1000000,"-")</f>
        <v>-</v>
      </c>
      <c r="G61" s="638" t="str">
        <f>IF(IFERROR(INDEX(Measurements!$A:$X,MATCH(C61,Measurements!$E:$E,0),9),),E61/1000000,"-")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INDEX(Measurements!$A:$X,MATCH(C62,Measurements!$E:$E,0),9)</f>
        <v>#REF!</v>
      </c>
      <c r="E62" s="440" t="e">
        <f>INDEX(Measurements!$A:$X,MATCH(C62,Measurements!$E:$E,0),10)</f>
        <v>#REF!</v>
      </c>
      <c r="F62" s="638" t="str">
        <f>IF(IFERROR(INDEX(Measurements!$A:$X,MATCH(C62,Measurements!$E:$E,0),9),),D62/1000000,"-")</f>
        <v>-</v>
      </c>
      <c r="G62" s="638" t="str">
        <f>IF(IFERROR(INDEX(Measurements!$A:$X,MATCH(C62,Measurements!$E:$E,0),9),),E62/1000000,"-")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INDEX(Measurements!$A:$X,MATCH(C63,Measurements!$E:$E,0),9)</f>
        <v>#REF!</v>
      </c>
      <c r="E63" s="440" t="e">
        <f>INDEX(Measurements!$A:$X,MATCH(C63,Measurements!$E:$E,0),10)</f>
        <v>#REF!</v>
      </c>
      <c r="F63" s="638" t="str">
        <f>IF(IFERROR(INDEX(Measurements!$A:$X,MATCH(C63,Measurements!$E:$E,0),9),),D63/1000000,"-")</f>
        <v>-</v>
      </c>
      <c r="G63" s="638" t="str">
        <f>IF(IFERROR(INDEX(Measurements!$A:$X,MATCH(C63,Measurements!$E:$E,0),9),),E63/1000000,"-")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INDEX(Measurements!$A:$X,MATCH(C64,Measurements!$E:$E,0),9)</f>
        <v>#REF!</v>
      </c>
      <c r="E64" s="440" t="e">
        <f>INDEX(Measurements!$A:$X,MATCH(C64,Measurements!$E:$E,0),10)</f>
        <v>#REF!</v>
      </c>
      <c r="F64" s="638" t="str">
        <f>IF(IFERROR(INDEX(Measurements!$A:$X,MATCH(C64,Measurements!$E:$E,0),9),),D64/1000000,"-")</f>
        <v>-</v>
      </c>
      <c r="G64" s="638" t="str">
        <f>IF(IFERROR(INDEX(Measurements!$A:$X,MATCH(C64,Measurements!$E:$E,0),9),),E64/1000000,"-")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INDEX(Measurements!$A:$X,MATCH(C65,Measurements!$E:$E,0),9)</f>
        <v>#REF!</v>
      </c>
      <c r="E65" s="440" t="e">
        <f>INDEX(Measurements!$A:$X,MATCH(C65,Measurements!$E:$E,0),10)</f>
        <v>#REF!</v>
      </c>
      <c r="F65" s="638" t="str">
        <f>IF(IFERROR(INDEX(Measurements!$A:$X,MATCH(C65,Measurements!$E:$E,0),9),),D65/1000000,"-")</f>
        <v>-</v>
      </c>
      <c r="G65" s="638" t="str">
        <f>IF(IFERROR(INDEX(Measurements!$A:$X,MATCH(C65,Measurements!$E:$E,0),9),),E65/1000000,"-")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INDEX(Measurements!$A:$X,MATCH(C66,Measurements!$E:$E,0),9)</f>
        <v>#REF!</v>
      </c>
      <c r="E66" s="440" t="e">
        <f>INDEX(Measurements!$A:$X,MATCH(C66,Measurements!$E:$E,0),10)</f>
        <v>#REF!</v>
      </c>
      <c r="F66" s="638" t="str">
        <f>IF(IFERROR(INDEX(Measurements!$A:$X,MATCH(C66,Measurements!$E:$E,0),9),),D66/1000000,"-")</f>
        <v>-</v>
      </c>
      <c r="G66" s="638" t="str">
        <f>IF(IFERROR(INDEX(Measurements!$A:$X,MATCH(C66,Measurements!$E:$E,0),9),),E66/1000000,"-")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INDEX(Measurements!$A:$X,MATCH(C67,Measurements!$E:$E,0),9)</f>
        <v>#REF!</v>
      </c>
      <c r="E67" s="440" t="e">
        <f>INDEX(Measurements!$A:$X,MATCH(C67,Measurements!$E:$E,0),10)</f>
        <v>#REF!</v>
      </c>
      <c r="F67" s="638" t="str">
        <f>IF(IFERROR(INDEX(Measurements!$A:$X,MATCH(C67,Measurements!$E:$E,0),9),),D67/1000000,"-")</f>
        <v>-</v>
      </c>
      <c r="G67" s="638" t="str">
        <f>IF(IFERROR(INDEX(Measurements!$A:$X,MATCH(C67,Measurements!$E:$E,0),9),),E67/1000000,"-")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INDEX(Measurements!$A:$X,MATCH(C68,Measurements!$E:$E,0),9)</f>
        <v>#REF!</v>
      </c>
      <c r="E68" s="440" t="e">
        <f>INDEX(Measurements!$A:$X,MATCH(C68,Measurements!$E:$E,0),10)</f>
        <v>#REF!</v>
      </c>
      <c r="F68" s="638" t="str">
        <f>IF(IFERROR(INDEX(Measurements!$A:$X,MATCH(C68,Measurements!$E:$E,0),9),),D68/1000000,"-")</f>
        <v>-</v>
      </c>
      <c r="G68" s="638" t="str">
        <f>IF(IFERROR(INDEX(Measurements!$A:$X,MATCH(C68,Measurements!$E:$E,0),9),),E68/1000000,"-")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INDEX(Measurements!$A:$X,MATCH(C69,Measurements!$E:$E,0),9)</f>
        <v>#REF!</v>
      </c>
      <c r="E69" s="440" t="e">
        <f>INDEX(Measurements!$A:$X,MATCH(C69,Measurements!$E:$E,0),10)</f>
        <v>#REF!</v>
      </c>
      <c r="F69" s="638" t="str">
        <f>IF(IFERROR(INDEX(Measurements!$A:$X,MATCH(C69,Measurements!$E:$E,0),9),),D69/1000000,"-")</f>
        <v>-</v>
      </c>
      <c r="G69" s="638" t="str">
        <f>IF(IFERROR(INDEX(Measurements!$A:$X,MATCH(C69,Measurements!$E:$E,0),9),),E69/1000000,"-")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INDEX(Measurements!$A:$X,MATCH(C70,Measurements!$E:$E,0),9)</f>
        <v>#REF!</v>
      </c>
      <c r="E70" s="440" t="e">
        <f>INDEX(Measurements!$A:$X,MATCH(C70,Measurements!$E:$E,0),10)</f>
        <v>#REF!</v>
      </c>
      <c r="F70" s="638" t="str">
        <f>IF(IFERROR(INDEX(Measurements!$A:$X,MATCH(C70,Measurements!$E:$E,0),9),),D70/1000000,"-")</f>
        <v>-</v>
      </c>
      <c r="G70" s="638" t="str">
        <f>IF(IFERROR(INDEX(Measurements!$A:$X,MATCH(C70,Measurements!$E:$E,0),9),),E70/1000000,"-")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INDEX(Measurements!$A:$X,MATCH(C3,Measurements!$E:$E,0),9)</f>
        <v>#REF!</v>
      </c>
      <c r="E3" s="440" t="e">
        <f>INDEX(Measurements!$A:$X,MATCH(C3,Measurements!$E:$E,0),10)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INDEX(Measurements!$A:$X,MATCH(C5,Measurements!$E:$E,0),9)</f>
        <v>#REF!</v>
      </c>
      <c r="E5" s="440" t="e">
        <f>INDEX(Measurements!$A:$X,MATCH(C5,Measurements!$E:$E,0),10)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INDEX(Measurements!$A:$X,MATCH(C6,Measurements!$E:$E,0),9)</f>
        <v>#REF!</v>
      </c>
      <c r="E6" s="440" t="e">
        <f>INDEX(Measurements!$A:$X,MATCH(C6,Measurements!$E:$E,0),10)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INDEX(Measurements!$A:$X,MATCH(C7,Measurements!$E:$E,0),9)</f>
        <v>#REF!</v>
      </c>
      <c r="E7" s="440" t="e">
        <f>INDEX(Measurements!$A:$X,MATCH(C7,Measurements!$E:$E,0),10)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INDEX(Measurements!$A:$X,MATCH(C8,Measurements!$E:$E,0),9)</f>
        <v>#REF!</v>
      </c>
      <c r="E8" s="301" t="e">
        <f>INDEX(Measurements!$A:$X,MATCH(C8,Measurements!$E:$E,0),10)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INDEX(Measurements!$A:$X,MATCH(C14,Measurements!$E:$E,0),9)</f>
        <v>#REF!</v>
      </c>
      <c r="E14" s="300" t="e">
        <f>INDEX(Measurements!$A:$X,MATCH(C14,Measurements!$E:$E,0),10)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INDEX(Measurements!$A:$X,MATCH(C16,Measurements!$E:$E,0),9)</f>
        <v>#REF!</v>
      </c>
      <c r="E16" s="440" t="e">
        <f>INDEX(Measurements!$A:$X,MATCH(C16,Measurements!$E:$E,0),10)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INDEX(Measurements!$A:$X,MATCH(C17,Measurements!$E:$E,0),9)</f>
        <v>#REF!</v>
      </c>
      <c r="E17" s="440" t="e">
        <f>INDEX(Measurements!$A:$X,MATCH(C17,Measurements!$E:$E,0),10)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INDEX(Measurements!$A:$X,MATCH(C18,Measurements!$E:$E,0),9)</f>
        <v>#REF!</v>
      </c>
      <c r="E18" s="440" t="e">
        <f>INDEX(Measurements!$A:$X,MATCH(C18,Measurements!$E:$E,0),10)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INDEX(Measurements!$A:$X,MATCH(C19,Measurements!$E:$E,0),10)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INDEX(Measurements!$A:$X,MATCH(C25,Measurements!$E:$E,0),9)</f>
        <v>#REF!</v>
      </c>
      <c r="E25" s="300" t="e">
        <f>INDEX(Measurements!$A:$X,MATCH(C25,Measurements!$E:$E,0),10)</f>
        <v>#REF!</v>
      </c>
      <c r="F25" s="661" t="str">
        <f>IF(IFERROR(INDEX(Measurements!$A:$X,MATCH(C25,Measurements!$E:$E,0),9),),D25/1000000,"-")</f>
        <v>-</v>
      </c>
      <c r="G25" s="661" t="str">
        <f>IF(IFERROR(INDEX(Measurements!$A:$X,MATCH(C25,Measurements!$E:$E,0),9),),E25/1000000,"-")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INDEX(Measurements!$A:$X,MATCH(C26,Measurements!$E:$E,0),9)</f>
        <v>#REF!</v>
      </c>
      <c r="E26" s="440" t="e">
        <f>INDEX(Measurements!$A:$X,MATCH(C26,Measurements!$E:$E,0),10)</f>
        <v>#REF!</v>
      </c>
      <c r="F26" s="663" t="str">
        <f>IF(IFERROR(INDEX(Measurements!$A:$X,MATCH(C26,Measurements!$E:$E,0),9),),D26/1000000,"-")</f>
        <v>-</v>
      </c>
      <c r="G26" s="663" t="str">
        <f>IF(IFERROR(INDEX(Measurements!$A:$X,MATCH(C26,Measurements!$E:$E,0),9),),E26/1000000,"-")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INDEX(Measurements!$A:$X,MATCH(C27,Measurements!$E:$E,0),9)</f>
        <v>#REF!</v>
      </c>
      <c r="E27" s="440" t="e">
        <f>INDEX(Measurements!$A:$X,MATCH(C27,Measurements!$E:$E,0),10)</f>
        <v>#REF!</v>
      </c>
      <c r="F27" s="663" t="str">
        <f>IF(IFERROR(INDEX(Measurements!$A:$X,MATCH(C27,Measurements!$E:$E,0),9),),D27/1000000,"-")</f>
        <v>-</v>
      </c>
      <c r="G27" s="663" t="str">
        <f>IF(IFERROR(INDEX(Measurements!$A:$X,MATCH(C27,Measurements!$E:$E,0),9),),E27/1000000,"-")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INDEX(Measurements!$A:$X,MATCH(C28,Measurements!$E:$E,0),9)</f>
        <v>#REF!</v>
      </c>
      <c r="E28" s="440" t="e">
        <f>INDEX(Measurements!$A:$X,MATCH(C28,Measurements!$E:$E,0),10)</f>
        <v>#REF!</v>
      </c>
      <c r="F28" s="663" t="str">
        <f>IF(IFERROR(INDEX(Measurements!$A:$X,MATCH(C28,Measurements!$E:$E,0),9),),D28/1000000,"-")</f>
        <v>-</v>
      </c>
      <c r="G28" s="663" t="str">
        <f>IF(IFERROR(INDEX(Measurements!$A:$X,MATCH(C28,Measurements!$E:$E,0),9),),E28/1000000,"-")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'Schutzprüf-Checkliste'!C58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